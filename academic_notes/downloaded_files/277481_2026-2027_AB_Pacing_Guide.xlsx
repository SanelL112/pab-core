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codeName="ThisWorkbook" autoCompressPictures="0"/>
  <xr:revisionPtr revIDLastSave="0" documentId="8_{470B84C9-D32A-4A9F-809E-5A153691941C}" xr6:coauthVersionLast="47" xr6:coauthVersionMax="47" xr10:uidLastSave="{00000000-0000-0000-0000-000000000000}"/>
  <bookViews>
    <workbookView xWindow="-110" yWindow="-110" windowWidth="19420" windowHeight="11500" tabRatio="788" firstSheet="7" activeTab="7" xr2:uid="{00000000-000D-0000-FFFF-FFFF00000000}"/>
  </bookViews>
  <sheets>
    <sheet name="January" sheetId="14" state="hidden" r:id="rId1"/>
    <sheet name="February" sheetId="15" state="hidden" r:id="rId2"/>
    <sheet name="March" sheetId="16" state="hidden" r:id="rId3"/>
    <sheet name="April" sheetId="17" state="hidden" r:id="rId4"/>
    <sheet name="May" sheetId="18" state="hidden" r:id="rId5"/>
    <sheet name="June" sheetId="19" state="hidden" r:id="rId6"/>
    <sheet name="July" sheetId="20" state="hidden" r:id="rId7"/>
    <sheet name="August 26" sheetId="21" r:id="rId8"/>
    <sheet name="September 26" sheetId="22" r:id="rId9"/>
    <sheet name="October 26" sheetId="23" r:id="rId10"/>
    <sheet name="November 26" sheetId="24" r:id="rId11"/>
    <sheet name="December 26" sheetId="25" r:id="rId12"/>
    <sheet name="January 27" sheetId="26" r:id="rId13"/>
    <sheet name="February 27" sheetId="27" r:id="rId14"/>
    <sheet name="March 27" sheetId="28" r:id="rId15"/>
    <sheet name="April 27" sheetId="29" r:id="rId16"/>
    <sheet name="May 27" sheetId="30" r:id="rId17"/>
  </sheets>
  <externalReferences>
    <externalReference r:id="rId18"/>
  </externalReferences>
  <definedNames>
    <definedName name="CalendarYear" localSheetId="15">[1]January!$K$3</definedName>
    <definedName name="CalendarYear" localSheetId="13">[1]January!$K$3</definedName>
    <definedName name="CalendarYear" localSheetId="12">'January 27'!$K$3</definedName>
    <definedName name="CalendarYear" localSheetId="14">[1]January!$K$3</definedName>
    <definedName name="CalendarYear" localSheetId="16">[1]January!$K$3</definedName>
    <definedName name="CalendarYear">January!$K$3</definedName>
    <definedName name="ColumnTitleRegion1..H12.1" localSheetId="12">'January 27'!$B$2</definedName>
    <definedName name="ColumnTitleRegion1..H12.1">January!$B$2</definedName>
    <definedName name="ColumnTitleRegion1..H12.10">'October 26'!$B$2</definedName>
    <definedName name="ColumnTitleRegion1..H12.11">'November 26'!$B$2</definedName>
    <definedName name="ColumnTitleRegion1..H12.12">'December 26'!$B$2</definedName>
    <definedName name="ColumnTitleRegion1..H12.2" localSheetId="13">'February 27'!$B$2</definedName>
    <definedName name="ColumnTitleRegion1..H12.2">February!$B$2</definedName>
    <definedName name="ColumnTitleRegion1..H12.3" localSheetId="14">'March 27'!$B$2</definedName>
    <definedName name="ColumnTitleRegion1..H12.3">March!$B$2</definedName>
    <definedName name="ColumnTitleRegion1..H12.4" localSheetId="15">'April 27'!$B$2</definedName>
    <definedName name="ColumnTitleRegion1..H12.4">April!$B$2</definedName>
    <definedName name="ColumnTitleRegion1..H12.5" localSheetId="16">'May 27'!$B$2</definedName>
    <definedName name="ColumnTitleRegion1..H12.5">May!$B$2</definedName>
    <definedName name="ColumnTitleRegion1..H12.6">June!$B$2</definedName>
    <definedName name="ColumnTitleRegion1..H12.7">July!$B$2</definedName>
    <definedName name="ColumnTitleRegion1..H12.8">'August 26'!$B$2</definedName>
    <definedName name="ColumnTitleRegion1..H12.9">'September 26'!$B$2</definedName>
    <definedName name="ColumnTitleRegion2..C14.1" localSheetId="12">'January 27'!$B$2</definedName>
    <definedName name="ColumnTitleRegion2..C14.1">January!$B$2</definedName>
    <definedName name="ColumnTitleRegion2..C14.10">'October 26'!$B$2</definedName>
    <definedName name="ColumnTitleRegion2..C14.11">'November 26'!$B$2</definedName>
    <definedName name="ColumnTitleRegion2..C14.12">'December 26'!$B$2</definedName>
    <definedName name="ColumnTitleRegion2..C14.2" localSheetId="13">'February 27'!$B$2</definedName>
    <definedName name="ColumnTitleRegion2..C14.2">February!$B$2</definedName>
    <definedName name="ColumnTitleRegion2..C14.3" localSheetId="14">'March 27'!$B$2</definedName>
    <definedName name="ColumnTitleRegion2..C14.3">March!$B$2</definedName>
    <definedName name="ColumnTitleRegion2..C14.4" localSheetId="15">'April 27'!$B$2</definedName>
    <definedName name="ColumnTitleRegion2..C14.4">April!$B$2</definedName>
    <definedName name="ColumnTitleRegion2..C14.5" localSheetId="16">'May 27'!$B$2</definedName>
    <definedName name="ColumnTitleRegion2..C14.5">May!$B$2</definedName>
    <definedName name="ColumnTitleRegion2..C14.6">June!$B$2</definedName>
    <definedName name="ColumnTitleRegion2..C14.7">July!$B$2</definedName>
    <definedName name="ColumnTitleRegion2..C14.8">'August 26'!$B$2</definedName>
    <definedName name="ColumnTitleRegion2..C14.9">'September 26'!$B$2</definedName>
    <definedName name="DaysAndWeeks" localSheetId="15">{0,1,2,3,4,5,6} + {0;1;2;3;4;5}*7</definedName>
    <definedName name="DaysAndWeeks" localSheetId="13">{0,1,2,3,4,5,6} + {0;1;2;3;4;5}*7</definedName>
    <definedName name="DaysAndWeeks" localSheetId="12">{0,1,2,3,4,5,6} + {0;1;2;3;4;5}*7</definedName>
    <definedName name="DaysAndWeeks" localSheetId="14">{0,1,2,3,4,5,6} + {0;1;2;3;4;5}*7</definedName>
    <definedName name="DaysAndWeeks" localSheetId="16">{0,1,2,3,4,5,6} + {0;1;2;3;4;5}*7</definedName>
    <definedName name="DaysAndWeeks">{0,1,2,3,4,5,6} + {0;1;2;3;4;5}*7</definedName>
    <definedName name="_xlnm.Print_Area" localSheetId="0">January!$A$1:$H$14</definedName>
    <definedName name="_xlnm.Print_Area" localSheetId="12">'January 27'!$A$1:$H$14</definedName>
    <definedName name="WeekStart" localSheetId="15">[1]January!$K$4</definedName>
    <definedName name="WeekStart" localSheetId="13">[1]January!$K$4</definedName>
    <definedName name="WeekStart" localSheetId="12">'January 27'!$K$4</definedName>
    <definedName name="WeekStart" localSheetId="14">[1]January!$K$4</definedName>
    <definedName name="WeekStart" localSheetId="16">[1]January!$K$4</definedName>
    <definedName name="WeekStart">January!$K$4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4" i="30" l="1" a="1"/>
  <c r="C14" i="30" s="1"/>
  <c r="B11" i="30" a="1"/>
  <c r="D11" i="30" s="1"/>
  <c r="B9" i="30" a="1"/>
  <c r="C9" i="30" s="1"/>
  <c r="B7" i="30" a="1"/>
  <c r="D7" i="30" s="1"/>
  <c r="B5" i="30" a="1"/>
  <c r="C5" i="30" s="1"/>
  <c r="B3" i="30" a="1"/>
  <c r="H3" i="30" s="1"/>
  <c r="H2" i="30" s="1"/>
  <c r="B2" i="30"/>
  <c r="B1" i="30"/>
  <c r="B13" i="29" a="1"/>
  <c r="C13" i="29" s="1"/>
  <c r="B11" i="29" a="1"/>
  <c r="F11" i="29" s="1"/>
  <c r="B9" i="29" a="1"/>
  <c r="C9" i="29" s="1"/>
  <c r="B7" i="29" a="1"/>
  <c r="F7" i="29" s="1"/>
  <c r="B5" i="29" a="1"/>
  <c r="C5" i="29" s="1"/>
  <c r="B3" i="29" a="1"/>
  <c r="F3" i="29" s="1"/>
  <c r="F2" i="29" s="1"/>
  <c r="B2" i="29"/>
  <c r="B1" i="29"/>
  <c r="B13" i="28" a="1"/>
  <c r="C13" i="28" s="1"/>
  <c r="B11" i="28" a="1"/>
  <c r="G11" i="28" s="1"/>
  <c r="B9" i="28" a="1"/>
  <c r="C9" i="28" s="1"/>
  <c r="B7" i="28" a="1"/>
  <c r="G7" i="28" s="1"/>
  <c r="B5" i="28" a="1"/>
  <c r="C5" i="28" s="1"/>
  <c r="B3" i="28" a="1"/>
  <c r="G3" i="28" s="1"/>
  <c r="G2" i="28" s="1"/>
  <c r="B2" i="28"/>
  <c r="B1" i="28"/>
  <c r="B13" i="27" a="1"/>
  <c r="C13" i="27" s="1"/>
  <c r="B11" i="27" a="1"/>
  <c r="H11" i="27" s="1"/>
  <c r="B9" i="27" a="1"/>
  <c r="C9" i="27" s="1"/>
  <c r="B7" i="27" a="1"/>
  <c r="H7" i="27" s="1"/>
  <c r="B5" i="27" a="1"/>
  <c r="C5" i="27" s="1"/>
  <c r="B3" i="27" a="1"/>
  <c r="H3" i="27" s="1"/>
  <c r="H2" i="27" s="1"/>
  <c r="B2" i="27"/>
  <c r="B1" i="27"/>
  <c r="B13" i="26" a="1"/>
  <c r="C13" i="26" s="1"/>
  <c r="B11" i="26" a="1"/>
  <c r="H11" i="26" s="1"/>
  <c r="B9" i="26" a="1"/>
  <c r="H9" i="26" s="1"/>
  <c r="B7" i="26" a="1"/>
  <c r="H7" i="26" s="1"/>
  <c r="B5" i="26" a="1"/>
  <c r="D5" i="26" s="1"/>
  <c r="B3" i="26" a="1"/>
  <c r="D3" i="26" s="1"/>
  <c r="D2" i="26" s="1"/>
  <c r="B2" i="26"/>
  <c r="B1" i="26"/>
  <c r="F5" i="29" l="1"/>
  <c r="G5" i="29"/>
  <c r="D5" i="30"/>
  <c r="E5" i="30"/>
  <c r="F5" i="30"/>
  <c r="G5" i="30"/>
  <c r="E5" i="29"/>
  <c r="H5" i="30"/>
  <c r="H5" i="29"/>
  <c r="D9" i="30"/>
  <c r="E9" i="30"/>
  <c r="F9" i="30"/>
  <c r="G9" i="30"/>
  <c r="H9" i="30"/>
  <c r="E5" i="28"/>
  <c r="E9" i="29"/>
  <c r="C3" i="30"/>
  <c r="C2" i="30" s="1"/>
  <c r="C7" i="30"/>
  <c r="C11" i="30"/>
  <c r="D3" i="30"/>
  <c r="D2" i="30" s="1"/>
  <c r="G9" i="29"/>
  <c r="E3" i="30"/>
  <c r="E2" i="30" s="1"/>
  <c r="E7" i="30"/>
  <c r="E11" i="30"/>
  <c r="F5" i="28"/>
  <c r="B3" i="30"/>
  <c r="H9" i="29"/>
  <c r="F3" i="30"/>
  <c r="F2" i="30" s="1"/>
  <c r="F7" i="30"/>
  <c r="F11" i="30"/>
  <c r="G3" i="30"/>
  <c r="G2" i="30" s="1"/>
  <c r="G7" i="30"/>
  <c r="G11" i="30"/>
  <c r="H7" i="30"/>
  <c r="H11" i="30"/>
  <c r="B5" i="30"/>
  <c r="B9" i="30"/>
  <c r="B14" i="30"/>
  <c r="G5" i="28"/>
  <c r="H5" i="28"/>
  <c r="D9" i="29"/>
  <c r="B7" i="30"/>
  <c r="B11" i="30"/>
  <c r="F9" i="29"/>
  <c r="D5" i="29"/>
  <c r="B3" i="29"/>
  <c r="F9" i="28"/>
  <c r="D3" i="29"/>
  <c r="D2" i="29" s="1"/>
  <c r="D7" i="29"/>
  <c r="D11" i="29"/>
  <c r="G11" i="27"/>
  <c r="G9" i="28"/>
  <c r="E3" i="29"/>
  <c r="E2" i="29" s="1"/>
  <c r="E7" i="29"/>
  <c r="E11" i="29"/>
  <c r="G3" i="29"/>
  <c r="G2" i="29" s="1"/>
  <c r="G7" i="29"/>
  <c r="G11" i="29"/>
  <c r="H3" i="29"/>
  <c r="H2" i="29" s="1"/>
  <c r="H7" i="29"/>
  <c r="H11" i="29"/>
  <c r="B7" i="29"/>
  <c r="D9" i="28"/>
  <c r="B11" i="29"/>
  <c r="B5" i="29"/>
  <c r="B9" i="29"/>
  <c r="B13" i="29"/>
  <c r="E9" i="28"/>
  <c r="C3" i="29"/>
  <c r="C2" i="29" s="1"/>
  <c r="C7" i="29"/>
  <c r="C11" i="29"/>
  <c r="H9" i="28"/>
  <c r="D5" i="28"/>
  <c r="G5" i="26"/>
  <c r="G7" i="27"/>
  <c r="B11" i="28"/>
  <c r="D3" i="28"/>
  <c r="D2" i="28" s="1"/>
  <c r="D7" i="28"/>
  <c r="D11" i="28"/>
  <c r="D11" i="27"/>
  <c r="E3" i="28"/>
  <c r="E2" i="28" s="1"/>
  <c r="E7" i="28"/>
  <c r="E11" i="28"/>
  <c r="F9" i="26"/>
  <c r="E11" i="27"/>
  <c r="F3" i="28"/>
  <c r="F2" i="28" s="1"/>
  <c r="F7" i="28"/>
  <c r="F11" i="28"/>
  <c r="D7" i="27"/>
  <c r="B5" i="26"/>
  <c r="E7" i="27"/>
  <c r="C3" i="28"/>
  <c r="C2" i="28" s="1"/>
  <c r="C7" i="28"/>
  <c r="C11" i="28"/>
  <c r="H3" i="28"/>
  <c r="H2" i="28" s="1"/>
  <c r="H7" i="28"/>
  <c r="H11" i="28"/>
  <c r="B7" i="28"/>
  <c r="H5" i="26"/>
  <c r="B5" i="28"/>
  <c r="B9" i="28"/>
  <c r="B13" i="28"/>
  <c r="E3" i="27"/>
  <c r="E2" i="27" s="1"/>
  <c r="B3" i="28"/>
  <c r="B11" i="26"/>
  <c r="B5" i="27"/>
  <c r="B9" i="27"/>
  <c r="B13" i="27"/>
  <c r="D9" i="27"/>
  <c r="C7" i="26"/>
  <c r="D5" i="27"/>
  <c r="D7" i="26"/>
  <c r="B3" i="26"/>
  <c r="E5" i="27"/>
  <c r="E9" i="27"/>
  <c r="C3" i="26"/>
  <c r="C2" i="26" s="1"/>
  <c r="E7" i="26"/>
  <c r="F5" i="27"/>
  <c r="H5" i="27"/>
  <c r="H9" i="27"/>
  <c r="F3" i="26"/>
  <c r="F2" i="26" s="1"/>
  <c r="G5" i="27"/>
  <c r="G9" i="27"/>
  <c r="E3" i="26"/>
  <c r="E2" i="26" s="1"/>
  <c r="G7" i="26"/>
  <c r="G3" i="26"/>
  <c r="G2" i="26" s="1"/>
  <c r="B9" i="26"/>
  <c r="B3" i="27"/>
  <c r="B7" i="27"/>
  <c r="B11" i="27"/>
  <c r="H3" i="26"/>
  <c r="H2" i="26" s="1"/>
  <c r="C9" i="26"/>
  <c r="C3" i="27"/>
  <c r="C2" i="27" s="1"/>
  <c r="C7" i="27"/>
  <c r="C11" i="27"/>
  <c r="F9" i="27"/>
  <c r="F7" i="26"/>
  <c r="D9" i="26"/>
  <c r="D3" i="27"/>
  <c r="D2" i="27" s="1"/>
  <c r="C5" i="26"/>
  <c r="F3" i="27"/>
  <c r="F2" i="27" s="1"/>
  <c r="F7" i="27"/>
  <c r="F11" i="27"/>
  <c r="E5" i="26"/>
  <c r="G3" i="27"/>
  <c r="G2" i="27" s="1"/>
  <c r="F5" i="26"/>
  <c r="E9" i="26"/>
  <c r="G9" i="26"/>
  <c r="B7" i="26"/>
  <c r="C11" i="26"/>
  <c r="D11" i="26"/>
  <c r="E11" i="26"/>
  <c r="F11" i="26"/>
  <c r="G11" i="26"/>
  <c r="B13" i="26"/>
  <c r="B2" i="25" l="1"/>
  <c r="B2" i="24"/>
  <c r="B2" i="23"/>
  <c r="B2" i="22"/>
  <c r="B2" i="21"/>
  <c r="B2" i="20"/>
  <c r="B2" i="19"/>
  <c r="B2" i="18"/>
  <c r="B2" i="17"/>
  <c r="B2" i="16"/>
  <c r="B2" i="15" l="1"/>
  <c r="B1" i="17" l="1"/>
  <c r="B1" i="19" l="1"/>
  <c r="B1" i="18"/>
  <c r="B1" i="21"/>
  <c r="B1" i="20"/>
  <c r="B1" i="23"/>
  <c r="B1" i="22"/>
  <c r="B1" i="25"/>
  <c r="B1" i="24"/>
  <c r="B1" i="16"/>
  <c r="B1" i="15"/>
  <c r="B1" i="14"/>
  <c r="B14" i="25" a="1"/>
  <c r="C14" i="25" s="1"/>
  <c r="B12" i="25" a="1"/>
  <c r="H12" i="25" s="1"/>
  <c r="B10" i="25" a="1"/>
  <c r="G10" i="25" s="1"/>
  <c r="B7" i="25" a="1"/>
  <c r="G7" i="25" s="1"/>
  <c r="B5" i="25" a="1"/>
  <c r="H5" i="25" s="1"/>
  <c r="B3" i="25" a="1"/>
  <c r="G3" i="25" s="1"/>
  <c r="G2" i="25" s="1"/>
  <c r="B13" i="24" a="1"/>
  <c r="C13" i="24" s="1"/>
  <c r="B11" i="24" a="1"/>
  <c r="H11" i="24" s="1"/>
  <c r="B9" i="24" a="1"/>
  <c r="G9" i="24" s="1"/>
  <c r="B7" i="24" a="1"/>
  <c r="G7" i="24" s="1"/>
  <c r="B5" i="24" a="1"/>
  <c r="H5" i="24" s="1"/>
  <c r="B3" i="24" a="1"/>
  <c r="G3" i="24" s="1"/>
  <c r="G2" i="24" s="1"/>
  <c r="B13" i="23" a="1"/>
  <c r="C13" i="23" s="1"/>
  <c r="B11" i="23" a="1"/>
  <c r="H11" i="23" s="1"/>
  <c r="B9" i="23" a="1"/>
  <c r="G9" i="23" s="1"/>
  <c r="B7" i="23" a="1"/>
  <c r="G7" i="23" s="1"/>
  <c r="B5" i="23" a="1"/>
  <c r="H5" i="23" s="1"/>
  <c r="B3" i="23" a="1"/>
  <c r="G3" i="23" s="1"/>
  <c r="G2" i="23" s="1"/>
  <c r="B13" i="22" a="1"/>
  <c r="C13" i="22" s="1"/>
  <c r="B11" i="22" a="1"/>
  <c r="H11" i="22" s="1"/>
  <c r="B9" i="22" a="1"/>
  <c r="G9" i="22" s="1"/>
  <c r="B7" i="22" a="1"/>
  <c r="H7" i="22" s="1"/>
  <c r="B5" i="22" a="1"/>
  <c r="G5" i="22" s="1"/>
  <c r="B3" i="22" a="1"/>
  <c r="H3" i="22" s="1"/>
  <c r="H2" i="22" s="1"/>
  <c r="B13" i="21" a="1"/>
  <c r="C13" i="21" s="1"/>
  <c r="B11" i="21" a="1"/>
  <c r="H11" i="21" s="1"/>
  <c r="B9" i="21" a="1"/>
  <c r="G9" i="21" s="1"/>
  <c r="B7" i="21" a="1"/>
  <c r="G7" i="21" s="1"/>
  <c r="B5" i="21" a="1"/>
  <c r="H5" i="21" s="1"/>
  <c r="B3" i="21" a="1"/>
  <c r="G3" i="21" s="1"/>
  <c r="G2" i="21" s="1"/>
  <c r="B13" i="20" a="1"/>
  <c r="C13" i="20" s="1"/>
  <c r="B11" i="20" a="1"/>
  <c r="H11" i="20" s="1"/>
  <c r="B9" i="20" a="1"/>
  <c r="G9" i="20" s="1"/>
  <c r="B7" i="20" a="1"/>
  <c r="H7" i="20" s="1"/>
  <c r="B5" i="20" a="1"/>
  <c r="G5" i="20" s="1"/>
  <c r="B3" i="20" a="1"/>
  <c r="E3" i="20" s="1"/>
  <c r="E2" i="20" s="1"/>
  <c r="B13" i="19" a="1"/>
  <c r="C13" i="19" s="1"/>
  <c r="B11" i="19" a="1"/>
  <c r="H11" i="19" s="1"/>
  <c r="B9" i="19" a="1"/>
  <c r="G9" i="19" s="1"/>
  <c r="B7" i="19" a="1"/>
  <c r="H7" i="19" s="1"/>
  <c r="B5" i="19" a="1"/>
  <c r="G5" i="19" s="1"/>
  <c r="B3" i="19" a="1"/>
  <c r="H3" i="19" s="1"/>
  <c r="H2" i="19" s="1"/>
  <c r="B13" i="18" a="1"/>
  <c r="C13" i="18" s="1"/>
  <c r="B11" i="18" a="1"/>
  <c r="G11" i="18" s="1"/>
  <c r="B9" i="18" a="1"/>
  <c r="G9" i="18" s="1"/>
  <c r="B7" i="18" a="1"/>
  <c r="G7" i="18" s="1"/>
  <c r="B5" i="18" a="1"/>
  <c r="G5" i="18" s="1"/>
  <c r="B3" i="18" a="1"/>
  <c r="G3" i="18" s="1"/>
  <c r="G2" i="18" s="1"/>
  <c r="B13" i="17" a="1"/>
  <c r="B13" i="17" s="1"/>
  <c r="B11" i="17" a="1"/>
  <c r="G11" i="17" s="1"/>
  <c r="B9" i="17" a="1"/>
  <c r="H9" i="17" s="1"/>
  <c r="B7" i="17" a="1"/>
  <c r="H7" i="17" s="1"/>
  <c r="B5" i="17" a="1"/>
  <c r="G5" i="17" s="1"/>
  <c r="B3" i="17" a="1"/>
  <c r="H3" i="17" s="1"/>
  <c r="H2" i="17" s="1"/>
  <c r="B13" i="16" a="1"/>
  <c r="C13" i="16" s="1"/>
  <c r="B11" i="16" a="1"/>
  <c r="H11" i="16" s="1"/>
  <c r="B9" i="16" a="1"/>
  <c r="G9" i="16" s="1"/>
  <c r="B7" i="16" a="1"/>
  <c r="H7" i="16" s="1"/>
  <c r="B5" i="16" a="1"/>
  <c r="G5" i="16" s="1"/>
  <c r="B3" i="16" a="1"/>
  <c r="H3" i="16" s="1"/>
  <c r="H2" i="16" s="1"/>
  <c r="B13" i="15" a="1"/>
  <c r="C13" i="15" s="1"/>
  <c r="B11" i="15" a="1"/>
  <c r="H11" i="15" s="1"/>
  <c r="B9" i="15" a="1"/>
  <c r="G9" i="15" s="1"/>
  <c r="B7" i="15" a="1"/>
  <c r="H7" i="15" s="1"/>
  <c r="B5" i="15" a="1"/>
  <c r="G5" i="15" s="1"/>
  <c r="B3" i="15" a="1"/>
  <c r="H3" i="15" s="1"/>
  <c r="H2" i="15" s="1"/>
  <c r="B7" i="18" l="1"/>
  <c r="B3" i="18"/>
  <c r="B11" i="18"/>
  <c r="F3" i="18"/>
  <c r="F2" i="18" s="1"/>
  <c r="F7" i="18"/>
  <c r="F11" i="18"/>
  <c r="D5" i="18"/>
  <c r="H5" i="18"/>
  <c r="D9" i="18"/>
  <c r="H9" i="18"/>
  <c r="D3" i="18"/>
  <c r="D2" i="18" s="1"/>
  <c r="H3" i="18"/>
  <c r="H2" i="18" s="1"/>
  <c r="B5" i="18"/>
  <c r="F5" i="18"/>
  <c r="D7" i="18"/>
  <c r="H7" i="18"/>
  <c r="B9" i="18"/>
  <c r="F9" i="18"/>
  <c r="D11" i="18"/>
  <c r="H11" i="18"/>
  <c r="B13" i="18"/>
  <c r="C5" i="25"/>
  <c r="E5" i="25"/>
  <c r="G5" i="25"/>
  <c r="C12" i="25"/>
  <c r="E12" i="25"/>
  <c r="G12" i="25"/>
  <c r="B3" i="25"/>
  <c r="D3" i="25"/>
  <c r="D2" i="25" s="1"/>
  <c r="F3" i="25"/>
  <c r="F2" i="25" s="1"/>
  <c r="H3" i="25"/>
  <c r="H2" i="25" s="1"/>
  <c r="B5" i="25"/>
  <c r="D5" i="25"/>
  <c r="F5" i="25"/>
  <c r="B7" i="25"/>
  <c r="D7" i="25"/>
  <c r="F7" i="25"/>
  <c r="H7" i="25"/>
  <c r="B10" i="25"/>
  <c r="D10" i="25"/>
  <c r="F10" i="25"/>
  <c r="H10" i="25"/>
  <c r="B12" i="25"/>
  <c r="D12" i="25"/>
  <c r="F12" i="25"/>
  <c r="B14" i="25"/>
  <c r="C3" i="25"/>
  <c r="C2" i="25" s="1"/>
  <c r="E3" i="25"/>
  <c r="E2" i="25" s="1"/>
  <c r="C7" i="25"/>
  <c r="E7" i="25"/>
  <c r="C10" i="25"/>
  <c r="E10" i="25"/>
  <c r="C5" i="24"/>
  <c r="E5" i="24"/>
  <c r="G5" i="24"/>
  <c r="C11" i="24"/>
  <c r="E11" i="24"/>
  <c r="G11" i="24"/>
  <c r="B3" i="24"/>
  <c r="D3" i="24"/>
  <c r="D2" i="24" s="1"/>
  <c r="F3" i="24"/>
  <c r="F2" i="24" s="1"/>
  <c r="H3" i="24"/>
  <c r="H2" i="24" s="1"/>
  <c r="B5" i="24"/>
  <c r="D5" i="24"/>
  <c r="F5" i="24"/>
  <c r="B7" i="24"/>
  <c r="D7" i="24"/>
  <c r="F7" i="24"/>
  <c r="H7" i="24"/>
  <c r="B9" i="24"/>
  <c r="D9" i="24"/>
  <c r="F9" i="24"/>
  <c r="H9" i="24"/>
  <c r="B11" i="24"/>
  <c r="D11" i="24"/>
  <c r="F11" i="24"/>
  <c r="B13" i="24"/>
  <c r="C3" i="24"/>
  <c r="C2" i="24" s="1"/>
  <c r="E3" i="24"/>
  <c r="E2" i="24" s="1"/>
  <c r="C7" i="24"/>
  <c r="E7" i="24"/>
  <c r="C9" i="24"/>
  <c r="E9" i="24"/>
  <c r="C5" i="23"/>
  <c r="E5" i="23"/>
  <c r="G5" i="23"/>
  <c r="C11" i="23"/>
  <c r="E11" i="23"/>
  <c r="G11" i="23"/>
  <c r="B3" i="23"/>
  <c r="D3" i="23"/>
  <c r="D2" i="23" s="1"/>
  <c r="F3" i="23"/>
  <c r="F2" i="23" s="1"/>
  <c r="H3" i="23"/>
  <c r="H2" i="23" s="1"/>
  <c r="B5" i="23"/>
  <c r="D5" i="23"/>
  <c r="F5" i="23"/>
  <c r="B7" i="23"/>
  <c r="D7" i="23"/>
  <c r="F7" i="23"/>
  <c r="H7" i="23"/>
  <c r="B9" i="23"/>
  <c r="D9" i="23"/>
  <c r="F9" i="23"/>
  <c r="H9" i="23"/>
  <c r="B11" i="23"/>
  <c r="D11" i="23"/>
  <c r="F11" i="23"/>
  <c r="B13" i="23"/>
  <c r="C3" i="23"/>
  <c r="C2" i="23" s="1"/>
  <c r="E3" i="23"/>
  <c r="E2" i="23" s="1"/>
  <c r="C7" i="23"/>
  <c r="E7" i="23"/>
  <c r="C9" i="23"/>
  <c r="E9" i="23"/>
  <c r="C3" i="22"/>
  <c r="C2" i="22" s="1"/>
  <c r="E3" i="22"/>
  <c r="E2" i="22" s="1"/>
  <c r="G3" i="22"/>
  <c r="G2" i="22" s="1"/>
  <c r="C7" i="22"/>
  <c r="E7" i="22"/>
  <c r="G7" i="22"/>
  <c r="C11" i="22"/>
  <c r="E11" i="22"/>
  <c r="G11" i="22"/>
  <c r="B3" i="22"/>
  <c r="D3" i="22"/>
  <c r="D2" i="22" s="1"/>
  <c r="F3" i="22"/>
  <c r="F2" i="22" s="1"/>
  <c r="B5" i="22"/>
  <c r="D5" i="22"/>
  <c r="F5" i="22"/>
  <c r="H5" i="22"/>
  <c r="B7" i="22"/>
  <c r="D7" i="22"/>
  <c r="F7" i="22"/>
  <c r="B9" i="22"/>
  <c r="D9" i="22"/>
  <c r="F9" i="22"/>
  <c r="H9" i="22"/>
  <c r="B11" i="22"/>
  <c r="D11" i="22"/>
  <c r="F11" i="22"/>
  <c r="B13" i="22"/>
  <c r="C5" i="22"/>
  <c r="E5" i="22"/>
  <c r="C9" i="22"/>
  <c r="E9" i="22"/>
  <c r="C5" i="21"/>
  <c r="E5" i="21"/>
  <c r="G5" i="21"/>
  <c r="C11" i="21"/>
  <c r="E11" i="21"/>
  <c r="G11" i="21"/>
  <c r="B3" i="21"/>
  <c r="D3" i="21"/>
  <c r="D2" i="21" s="1"/>
  <c r="F3" i="21"/>
  <c r="F2" i="21" s="1"/>
  <c r="H3" i="21"/>
  <c r="H2" i="21" s="1"/>
  <c r="B5" i="21"/>
  <c r="D5" i="21"/>
  <c r="F5" i="21"/>
  <c r="B7" i="21"/>
  <c r="D7" i="21"/>
  <c r="F7" i="21"/>
  <c r="H7" i="21"/>
  <c r="B9" i="21"/>
  <c r="D9" i="21"/>
  <c r="F9" i="21"/>
  <c r="H9" i="21"/>
  <c r="B11" i="21"/>
  <c r="D11" i="21"/>
  <c r="F11" i="21"/>
  <c r="B13" i="21"/>
  <c r="C3" i="21"/>
  <c r="C2" i="21" s="1"/>
  <c r="E3" i="21"/>
  <c r="E2" i="21" s="1"/>
  <c r="C7" i="21"/>
  <c r="E7" i="21"/>
  <c r="C9" i="21"/>
  <c r="E9" i="21"/>
  <c r="C3" i="20"/>
  <c r="C2" i="20" s="1"/>
  <c r="G3" i="20"/>
  <c r="G2" i="20" s="1"/>
  <c r="C7" i="20"/>
  <c r="E7" i="20"/>
  <c r="G7" i="20"/>
  <c r="C11" i="20"/>
  <c r="E11" i="20"/>
  <c r="G11" i="20"/>
  <c r="B3" i="20"/>
  <c r="D3" i="20"/>
  <c r="D2" i="20" s="1"/>
  <c r="F3" i="20"/>
  <c r="F2" i="20" s="1"/>
  <c r="H3" i="20"/>
  <c r="H2" i="20" s="1"/>
  <c r="B5" i="20"/>
  <c r="D5" i="20"/>
  <c r="F5" i="20"/>
  <c r="H5" i="20"/>
  <c r="B7" i="20"/>
  <c r="D7" i="20"/>
  <c r="F7" i="20"/>
  <c r="B9" i="20"/>
  <c r="D9" i="20"/>
  <c r="F9" i="20"/>
  <c r="H9" i="20"/>
  <c r="B11" i="20"/>
  <c r="D11" i="20"/>
  <c r="F11" i="20"/>
  <c r="B13" i="20"/>
  <c r="C5" i="20"/>
  <c r="E5" i="20"/>
  <c r="C9" i="20"/>
  <c r="E9" i="20"/>
  <c r="C3" i="19"/>
  <c r="C2" i="19" s="1"/>
  <c r="E3" i="19"/>
  <c r="E2" i="19" s="1"/>
  <c r="G3" i="19"/>
  <c r="G2" i="19" s="1"/>
  <c r="C7" i="19"/>
  <c r="E7" i="19"/>
  <c r="G7" i="19"/>
  <c r="C11" i="19"/>
  <c r="E11" i="19"/>
  <c r="G11" i="19"/>
  <c r="B3" i="19"/>
  <c r="D3" i="19"/>
  <c r="D2" i="19" s="1"/>
  <c r="F3" i="19"/>
  <c r="F2" i="19" s="1"/>
  <c r="B5" i="19"/>
  <c r="D5" i="19"/>
  <c r="F5" i="19"/>
  <c r="H5" i="19"/>
  <c r="B7" i="19"/>
  <c r="D7" i="19"/>
  <c r="F7" i="19"/>
  <c r="B9" i="19"/>
  <c r="D9" i="19"/>
  <c r="F9" i="19"/>
  <c r="H9" i="19"/>
  <c r="B11" i="19"/>
  <c r="D11" i="19"/>
  <c r="F11" i="19"/>
  <c r="B13" i="19"/>
  <c r="C5" i="19"/>
  <c r="E5" i="19"/>
  <c r="C9" i="19"/>
  <c r="E9" i="19"/>
  <c r="C3" i="18"/>
  <c r="C2" i="18" s="1"/>
  <c r="E3" i="18"/>
  <c r="E2" i="18" s="1"/>
  <c r="C5" i="18"/>
  <c r="E5" i="18"/>
  <c r="C7" i="18"/>
  <c r="E7" i="18"/>
  <c r="C9" i="18"/>
  <c r="E9" i="18"/>
  <c r="C11" i="18"/>
  <c r="E11" i="18"/>
  <c r="C3" i="17"/>
  <c r="C2" i="17" s="1"/>
  <c r="E3" i="17"/>
  <c r="E2" i="17" s="1"/>
  <c r="G3" i="17"/>
  <c r="G2" i="17" s="1"/>
  <c r="C7" i="17"/>
  <c r="E7" i="17"/>
  <c r="G7" i="17"/>
  <c r="C9" i="17"/>
  <c r="E9" i="17"/>
  <c r="G9" i="17"/>
  <c r="C13" i="17"/>
  <c r="B3" i="17"/>
  <c r="D3" i="17"/>
  <c r="D2" i="17" s="1"/>
  <c r="F3" i="17"/>
  <c r="F2" i="17" s="1"/>
  <c r="B5" i="17"/>
  <c r="D5" i="17"/>
  <c r="F5" i="17"/>
  <c r="H5" i="17"/>
  <c r="B7" i="17"/>
  <c r="D7" i="17"/>
  <c r="F7" i="17"/>
  <c r="B9" i="17"/>
  <c r="D9" i="17"/>
  <c r="F9" i="17"/>
  <c r="B11" i="17"/>
  <c r="D11" i="17"/>
  <c r="F11" i="17"/>
  <c r="H11" i="17"/>
  <c r="C5" i="17"/>
  <c r="E5" i="17"/>
  <c r="C11" i="17"/>
  <c r="E11" i="17"/>
  <c r="C3" i="16"/>
  <c r="C2" i="16" s="1"/>
  <c r="E3" i="16"/>
  <c r="E2" i="16" s="1"/>
  <c r="G3" i="16"/>
  <c r="G2" i="16" s="1"/>
  <c r="C7" i="16"/>
  <c r="E7" i="16"/>
  <c r="G7" i="16"/>
  <c r="C11" i="16"/>
  <c r="E11" i="16"/>
  <c r="G11" i="16"/>
  <c r="B3" i="16"/>
  <c r="D3" i="16"/>
  <c r="D2" i="16" s="1"/>
  <c r="F3" i="16"/>
  <c r="F2" i="16" s="1"/>
  <c r="B5" i="16"/>
  <c r="D5" i="16"/>
  <c r="F5" i="16"/>
  <c r="H5" i="16"/>
  <c r="B7" i="16"/>
  <c r="D7" i="16"/>
  <c r="F7" i="16"/>
  <c r="B9" i="16"/>
  <c r="D9" i="16"/>
  <c r="F9" i="16"/>
  <c r="H9" i="16"/>
  <c r="B11" i="16"/>
  <c r="D11" i="16"/>
  <c r="F11" i="16"/>
  <c r="B13" i="16"/>
  <c r="C5" i="16"/>
  <c r="E5" i="16"/>
  <c r="C9" i="16"/>
  <c r="E9" i="16"/>
  <c r="C3" i="15"/>
  <c r="C2" i="15" s="1"/>
  <c r="E3" i="15"/>
  <c r="E2" i="15" s="1"/>
  <c r="G3" i="15"/>
  <c r="G2" i="15" s="1"/>
  <c r="C7" i="15"/>
  <c r="E7" i="15"/>
  <c r="G7" i="15"/>
  <c r="C11" i="15"/>
  <c r="E11" i="15"/>
  <c r="G11" i="15"/>
  <c r="B3" i="15"/>
  <c r="D3" i="15"/>
  <c r="D2" i="15" s="1"/>
  <c r="F3" i="15"/>
  <c r="F2" i="15" s="1"/>
  <c r="B5" i="15"/>
  <c r="D5" i="15"/>
  <c r="F5" i="15"/>
  <c r="H5" i="15"/>
  <c r="B7" i="15"/>
  <c r="D7" i="15"/>
  <c r="F7" i="15"/>
  <c r="B9" i="15"/>
  <c r="D9" i="15"/>
  <c r="F9" i="15"/>
  <c r="H9" i="15"/>
  <c r="B11" i="15"/>
  <c r="D11" i="15"/>
  <c r="F11" i="15"/>
  <c r="B13" i="15"/>
  <c r="C5" i="15"/>
  <c r="E5" i="15"/>
  <c r="C9" i="15"/>
  <c r="E9" i="15"/>
  <c r="B2" i="14"/>
  <c r="B13" i="14" l="1" a="1"/>
  <c r="C13" i="14" s="1"/>
  <c r="B11" i="14" a="1"/>
  <c r="C11" i="14" s="1"/>
  <c r="B9" i="14" a="1"/>
  <c r="B9" i="14" s="1"/>
  <c r="B7" i="14" a="1"/>
  <c r="B7" i="14" s="1"/>
  <c r="B5" i="14" a="1"/>
  <c r="B5" i="14" s="1"/>
  <c r="B3" i="14" a="1"/>
  <c r="B3" i="14" s="1"/>
  <c r="E5" i="14" l="1"/>
  <c r="G5" i="14"/>
  <c r="C5" i="14"/>
  <c r="G9" i="14"/>
  <c r="E9" i="14"/>
  <c r="C9" i="14"/>
  <c r="H5" i="14"/>
  <c r="F5" i="14"/>
  <c r="D5" i="14"/>
  <c r="G7" i="14"/>
  <c r="C7" i="14"/>
  <c r="H9" i="14"/>
  <c r="F9" i="14"/>
  <c r="D9" i="14"/>
  <c r="E7" i="14"/>
  <c r="B13" i="14"/>
  <c r="H11" i="14"/>
  <c r="F11" i="14"/>
  <c r="D11" i="14"/>
  <c r="B11" i="14"/>
  <c r="G11" i="14"/>
  <c r="E11" i="14"/>
  <c r="H7" i="14"/>
  <c r="F7" i="14"/>
  <c r="D7" i="14"/>
  <c r="G3" i="14"/>
  <c r="G2" i="14" s="1"/>
  <c r="E3" i="14"/>
  <c r="E2" i="14" s="1"/>
  <c r="C3" i="14"/>
  <c r="C2" i="14" s="1"/>
  <c r="H3" i="14"/>
  <c r="H2" i="14" s="1"/>
  <c r="F3" i="14"/>
  <c r="F2" i="14" s="1"/>
  <c r="D3" i="14"/>
  <c r="D2" i="14" s="1"/>
</calcChain>
</file>

<file path=xl/sharedStrings.xml><?xml version="1.0" encoding="utf-8"?>
<sst xmlns="http://schemas.openxmlformats.org/spreadsheetml/2006/main" count="177" uniqueCount="127">
  <si>
    <t>Calendar Settings</t>
  </si>
  <si>
    <t>Year</t>
  </si>
  <si>
    <t>Week Start</t>
  </si>
  <si>
    <t>SUNDAY</t>
  </si>
  <si>
    <t>Notes</t>
  </si>
  <si>
    <t>Preplanning</t>
  </si>
  <si>
    <r>
      <rPr>
        <b/>
        <sz val="11"/>
        <color theme="1" tint="0.34998626667073579"/>
        <rFont val="Lucida Sans"/>
        <family val="2"/>
        <scheme val="minor"/>
      </rPr>
      <t>First Day of School -</t>
    </r>
    <r>
      <rPr>
        <sz val="11"/>
        <color theme="1" tint="0.34998626667073579"/>
        <rFont val="Lucida Sans"/>
        <family val="2"/>
        <scheme val="minor"/>
      </rPr>
      <t xml:space="preserve"> Welcome, expectations &amp; course info</t>
    </r>
  </si>
  <si>
    <r>
      <t xml:space="preserve">Unit 1 Lesson 1 - </t>
    </r>
    <r>
      <rPr>
        <sz val="11"/>
        <color theme="1" tint="0.34998626667073579"/>
        <rFont val="Lucida Sans"/>
        <family val="2"/>
        <scheme val="minor"/>
      </rPr>
      <t>instantaneous rate of change</t>
    </r>
  </si>
  <si>
    <r>
      <t xml:space="preserve">Lesson 2 - </t>
    </r>
    <r>
      <rPr>
        <sz val="11"/>
        <color theme="1" tint="0.34998626667073579"/>
        <rFont val="Lucida Sans"/>
        <family val="2"/>
        <scheme val="minor"/>
      </rPr>
      <t>limits graphically &amp; numerically</t>
    </r>
  </si>
  <si>
    <r>
      <t xml:space="preserve">Lesson 3 - </t>
    </r>
    <r>
      <rPr>
        <sz val="11"/>
        <color theme="1" tint="0.34998626667073579"/>
        <rFont val="Lucida Sans"/>
        <family val="2"/>
        <scheme val="minor"/>
      </rPr>
      <t>limit properties</t>
    </r>
  </si>
  <si>
    <r>
      <t>Lesson 4</t>
    </r>
    <r>
      <rPr>
        <sz val="11"/>
        <color theme="1" tint="0.34998626667073579"/>
        <rFont val="Lucida Sans"/>
        <family val="2"/>
        <scheme val="minor"/>
      </rPr>
      <t xml:space="preserve"> - Limits analytically (stop at squeeze thm)</t>
    </r>
  </si>
  <si>
    <r>
      <t xml:space="preserve">Lesson 4 cont. </t>
    </r>
    <r>
      <rPr>
        <sz val="11"/>
        <color theme="1" tint="0.34998626667073579"/>
        <rFont val="Lucida Sans"/>
        <family val="2"/>
        <scheme val="minor"/>
      </rPr>
      <t>Remaining time for practice/review</t>
    </r>
  </si>
  <si>
    <t>Unit 1 Quiz 1</t>
  </si>
  <si>
    <r>
      <t>Lesson 5</t>
    </r>
    <r>
      <rPr>
        <sz val="11"/>
        <color theme="1" tint="0.34998626667073579"/>
        <rFont val="Lucida Sans"/>
        <family val="2"/>
        <scheme val="minor"/>
      </rPr>
      <t xml:space="preserve"> - limits of transcendentals</t>
    </r>
  </si>
  <si>
    <r>
      <t xml:space="preserve">Lesson 5 cont. </t>
    </r>
    <r>
      <rPr>
        <sz val="11"/>
        <color theme="1" tint="0.34998626667073579"/>
        <rFont val="Lucida Sans"/>
        <family val="2"/>
        <scheme val="minor"/>
      </rPr>
      <t>- revisit L4 squeeze thm</t>
    </r>
  </si>
  <si>
    <r>
      <t xml:space="preserve">Lesson 6 - </t>
    </r>
    <r>
      <rPr>
        <sz val="11"/>
        <color theme="1" tint="0.34998626667073579"/>
        <rFont val="Lucida Sans"/>
        <family val="2"/>
        <scheme val="minor"/>
      </rPr>
      <t>continuity</t>
    </r>
  </si>
  <si>
    <r>
      <rPr>
        <sz val="11"/>
        <color rgb="FFFF0000"/>
        <rFont val="Lucida Sans"/>
        <family val="2"/>
        <scheme val="minor"/>
      </rPr>
      <t>Pep Rally Schedule</t>
    </r>
    <r>
      <rPr>
        <b/>
        <sz val="11"/>
        <color rgb="FF595959"/>
        <rFont val="Lucida Sans"/>
        <scheme val="minor"/>
      </rPr>
      <t xml:space="preserve"> Practice/Review</t>
    </r>
  </si>
  <si>
    <t>Unit 1 Quiz 2</t>
  </si>
  <si>
    <r>
      <t xml:space="preserve">Lesson 7 - </t>
    </r>
    <r>
      <rPr>
        <sz val="11"/>
        <color theme="1" tint="0.34998626667073579"/>
        <rFont val="Lucida Sans"/>
        <family val="2"/>
        <scheme val="minor"/>
      </rPr>
      <t>Infinite Limits &amp; Limits @ infinity</t>
    </r>
  </si>
  <si>
    <r>
      <t xml:space="preserve">Lesson 8                                          </t>
    </r>
    <r>
      <rPr>
        <sz val="11"/>
        <color theme="1" tint="0.34998626667073579"/>
        <rFont val="Lucida Sans"/>
        <family val="2"/>
        <scheme val="minor"/>
      </rPr>
      <t>Intermediate Value Theorem</t>
    </r>
  </si>
  <si>
    <t>Review/Finish Derivita/Submit homework</t>
  </si>
  <si>
    <t>Unit 1 Test</t>
  </si>
  <si>
    <r>
      <t xml:space="preserve">Unit 2 Lesson 1 - </t>
    </r>
    <r>
      <rPr>
        <sz val="11"/>
        <color theme="1" tint="0.34998626667073579"/>
        <rFont val="Lucida Sans"/>
        <family val="2"/>
        <scheme val="minor"/>
      </rPr>
      <t>Rates of change &amp; Tangent Lines</t>
    </r>
  </si>
  <si>
    <r>
      <t xml:space="preserve">Lesson 2                                          </t>
    </r>
    <r>
      <rPr>
        <sz val="11"/>
        <color theme="1" tint="0.34998626667073579"/>
        <rFont val="Lucida Sans"/>
        <family val="2"/>
        <scheme val="minor"/>
      </rPr>
      <t>Tangent lines &amp; Derivatives</t>
    </r>
  </si>
  <si>
    <r>
      <t xml:space="preserve">Early Release                                                       </t>
    </r>
    <r>
      <rPr>
        <sz val="11"/>
        <rFont val="Lucida Sans"/>
        <family val="2"/>
        <scheme val="minor"/>
      </rPr>
      <t>DeltaMath Quiz for Lessons 1 &amp; 2</t>
    </r>
  </si>
  <si>
    <t>Labor Day Holiday</t>
  </si>
  <si>
    <r>
      <t>Lesson 3 -</t>
    </r>
    <r>
      <rPr>
        <sz val="11"/>
        <color theme="1" tint="0.34998626667073579"/>
        <rFont val="Lucida Sans"/>
        <family val="2"/>
        <scheme val="minor"/>
      </rPr>
      <t xml:space="preserve"> Linear approximation</t>
    </r>
  </si>
  <si>
    <r>
      <rPr>
        <b/>
        <sz val="11"/>
        <color rgb="FF595959"/>
        <rFont val="Lucida Sans"/>
        <scheme val="minor"/>
      </rPr>
      <t xml:space="preserve">Lesson 4                                </t>
    </r>
    <r>
      <rPr>
        <sz val="11"/>
        <color rgb="FF595959"/>
        <rFont val="Lucida Sans"/>
        <scheme val="minor"/>
      </rPr>
      <t>Differentiability &amp; continuity</t>
    </r>
  </si>
  <si>
    <r>
      <rPr>
        <sz val="11"/>
        <color rgb="FFFF0000"/>
        <rFont val="Lucida Sans"/>
        <family val="2"/>
        <scheme val="minor"/>
      </rPr>
      <t>Pep Rally Schedule</t>
    </r>
    <r>
      <rPr>
        <b/>
        <sz val="11"/>
        <color theme="1" tint="0.34998626667073579"/>
        <rFont val="Lucida Sans"/>
        <family val="2"/>
        <scheme val="minor"/>
      </rPr>
      <t xml:space="preserve"> Review &amp; Practice</t>
    </r>
  </si>
  <si>
    <t>Homecoming</t>
  </si>
  <si>
    <t>Unit 2 Quiz 2</t>
  </si>
  <si>
    <r>
      <t xml:space="preserve">Lesson 5 - </t>
    </r>
    <r>
      <rPr>
        <sz val="11"/>
        <color theme="1" tint="0.34998626667073579"/>
        <rFont val="Lucida Sans"/>
        <family val="2"/>
        <scheme val="minor"/>
      </rPr>
      <t>Basic Differentiation Rules</t>
    </r>
  </si>
  <si>
    <r>
      <t xml:space="preserve">Lesson 6                                                  </t>
    </r>
    <r>
      <rPr>
        <sz val="11"/>
        <color theme="1" tint="0.34998626667073579"/>
        <rFont val="Lucida Sans"/>
        <family val="2"/>
        <scheme val="minor"/>
      </rPr>
      <t>Product &amp; Quotient Rules</t>
    </r>
  </si>
  <si>
    <r>
      <t xml:space="preserve">AP Classroom Quiz </t>
    </r>
    <r>
      <rPr>
        <sz val="11"/>
        <color theme="1" tint="0.34998626667073579"/>
        <rFont val="Lucida Sans"/>
        <family val="2"/>
        <scheme val="minor"/>
      </rPr>
      <t>(lessons 5 &amp; 6)</t>
    </r>
  </si>
  <si>
    <r>
      <t xml:space="preserve">Lesson 7 - </t>
    </r>
    <r>
      <rPr>
        <sz val="11"/>
        <color theme="1" tint="0.34998626667073579"/>
        <rFont val="Lucida Sans"/>
        <family val="2"/>
        <scheme val="minor"/>
      </rPr>
      <t>Velocity &amp; other contexts</t>
    </r>
  </si>
  <si>
    <t>Review/Practice</t>
  </si>
  <si>
    <t>Unit 2 Test</t>
  </si>
  <si>
    <t>Intro Unit 3</t>
  </si>
  <si>
    <t>Fall Break</t>
  </si>
  <si>
    <r>
      <t xml:space="preserve">Unit 3 Lesson 1 - </t>
    </r>
    <r>
      <rPr>
        <sz val="11"/>
        <color theme="1" tint="0.34998626667073579"/>
        <rFont val="Lucida Sans"/>
        <family val="2"/>
        <scheme val="minor"/>
      </rPr>
      <t>Chain Rule</t>
    </r>
  </si>
  <si>
    <r>
      <t xml:space="preserve">Lesson 1 Cont.        </t>
    </r>
    <r>
      <rPr>
        <sz val="11"/>
        <color theme="1" tint="0.34998626667073579"/>
        <rFont val="Lucida Sans"/>
        <family val="2"/>
        <scheme val="minor"/>
      </rPr>
      <t>+ Practice</t>
    </r>
  </si>
  <si>
    <r>
      <t xml:space="preserve">Lesson 2                       </t>
    </r>
    <r>
      <rPr>
        <sz val="11"/>
        <color theme="1" tint="0.34998626667073579"/>
        <rFont val="Lucida Sans"/>
        <family val="2"/>
        <scheme val="minor"/>
      </rPr>
      <t>Tables/graphs/symbolically</t>
    </r>
  </si>
  <si>
    <r>
      <t xml:space="preserve">Lesson 3 - </t>
    </r>
    <r>
      <rPr>
        <sz val="11"/>
        <color theme="1" tint="0.34998626667073579"/>
        <rFont val="Lucida Sans"/>
        <family val="2"/>
        <scheme val="minor"/>
      </rPr>
      <t>implicit differentiation</t>
    </r>
  </si>
  <si>
    <t>Unit 3 Quiz 1</t>
  </si>
  <si>
    <r>
      <t xml:space="preserve">Lesson 4                                                 </t>
    </r>
    <r>
      <rPr>
        <sz val="11"/>
        <color theme="1" tint="0.34998626667073579"/>
        <rFont val="Lucida Sans"/>
        <family val="2"/>
        <scheme val="minor"/>
      </rPr>
      <t>Inverse Functions</t>
    </r>
  </si>
  <si>
    <t>Online Learning</t>
  </si>
  <si>
    <t>Teacher Work Day</t>
  </si>
  <si>
    <r>
      <t xml:space="preserve">Lesson 5 - </t>
    </r>
    <r>
      <rPr>
        <sz val="11"/>
        <color theme="1" tint="0.34998626667073579"/>
        <rFont val="Lucida Sans"/>
        <family val="2"/>
        <scheme val="minor"/>
      </rPr>
      <t>Inverse Trig</t>
    </r>
  </si>
  <si>
    <r>
      <t xml:space="preserve">Lesson 5 cont. </t>
    </r>
    <r>
      <rPr>
        <sz val="11"/>
        <color theme="1" tint="0.34998626667073579"/>
        <rFont val="Lucida Sans"/>
        <family val="2"/>
        <scheme val="minor"/>
      </rPr>
      <t>+ Practice</t>
    </r>
  </si>
  <si>
    <r>
      <t xml:space="preserve">Unit 3 AP Classroom </t>
    </r>
    <r>
      <rPr>
        <sz val="11"/>
        <color rgb="FFFF0000"/>
        <rFont val="Lucida Sans"/>
        <family val="2"/>
        <scheme val="minor"/>
      </rPr>
      <t>Cummulative Quiz</t>
    </r>
  </si>
  <si>
    <t>Unit 3 Test</t>
  </si>
  <si>
    <r>
      <t xml:space="preserve">Unit 4 Lesson 1                                     </t>
    </r>
    <r>
      <rPr>
        <sz val="11"/>
        <color theme="1" tint="0.34998626667073579"/>
        <rFont val="Lucida Sans"/>
        <family val="2"/>
        <scheme val="minor"/>
      </rPr>
      <t>Interpret the derivative in context</t>
    </r>
  </si>
  <si>
    <r>
      <t xml:space="preserve">Lesson 2 </t>
    </r>
    <r>
      <rPr>
        <sz val="11"/>
        <color theme="1" tint="0.34998626667073579"/>
        <rFont val="Lucida Sans"/>
        <family val="2"/>
        <scheme val="minor"/>
      </rPr>
      <t>- Straight Line Motion</t>
    </r>
  </si>
  <si>
    <r>
      <t xml:space="preserve">Lesson 2 cont. + lesson 3 </t>
    </r>
    <r>
      <rPr>
        <sz val="11"/>
        <color theme="1" tint="0.34998626667073579"/>
        <rFont val="Lucida Sans"/>
        <family val="2"/>
        <scheme val="minor"/>
      </rPr>
      <t>- rates of change in other context</t>
    </r>
  </si>
  <si>
    <r>
      <t xml:space="preserve">Lesson 2 cont. + Lesson 3 </t>
    </r>
    <r>
      <rPr>
        <sz val="11"/>
        <color theme="1" tint="0.34998626667073579"/>
        <rFont val="Lucida Sans"/>
        <family val="2"/>
        <scheme val="minor"/>
      </rPr>
      <t>- rates of change in other context</t>
    </r>
  </si>
  <si>
    <r>
      <t xml:space="preserve">Lesson 4 - </t>
    </r>
    <r>
      <rPr>
        <sz val="11"/>
        <color theme="1" tint="0.34998626667073579"/>
        <rFont val="Lucida Sans"/>
        <family val="2"/>
        <scheme val="minor"/>
      </rPr>
      <t>Intro to Related rates</t>
    </r>
  </si>
  <si>
    <r>
      <t xml:space="preserve">Lesson 4                                                 </t>
    </r>
    <r>
      <rPr>
        <sz val="11"/>
        <color theme="1" tint="0.34998626667073579"/>
        <rFont val="Lucida Sans"/>
        <family val="2"/>
        <scheme val="minor"/>
      </rPr>
      <t>related rates</t>
    </r>
  </si>
  <si>
    <r>
      <t xml:space="preserve">Practice                   </t>
    </r>
    <r>
      <rPr>
        <sz val="11"/>
        <color theme="1" tint="0.34998626667073579"/>
        <rFont val="Lucida Sans"/>
        <family val="2"/>
        <scheme val="minor"/>
      </rPr>
      <t>related rates</t>
    </r>
  </si>
  <si>
    <r>
      <t xml:space="preserve">Unit 4 Quiz 1 </t>
    </r>
    <r>
      <rPr>
        <sz val="11"/>
        <color rgb="FFFF0000"/>
        <rFont val="Lucida Sans"/>
        <family val="2"/>
        <scheme val="minor"/>
      </rPr>
      <t>(lessons 1-4)</t>
    </r>
  </si>
  <si>
    <r>
      <t xml:space="preserve">Lesson 5 - </t>
    </r>
    <r>
      <rPr>
        <sz val="11"/>
        <color theme="1" tint="0.34998626667073579"/>
        <rFont val="Lucida Sans"/>
        <family val="2"/>
        <scheme val="minor"/>
      </rPr>
      <t>linear approximation</t>
    </r>
  </si>
  <si>
    <r>
      <t xml:space="preserve">Lesson 6                                                </t>
    </r>
    <r>
      <rPr>
        <sz val="11"/>
        <color theme="1" tint="0.34998626667073579"/>
        <rFont val="Lucida Sans"/>
        <family val="2"/>
        <scheme val="minor"/>
      </rPr>
      <t>L'Hopital's Rule</t>
    </r>
  </si>
  <si>
    <r>
      <t xml:space="preserve">AP Classroom Quiz </t>
    </r>
    <r>
      <rPr>
        <sz val="11"/>
        <color rgb="FFFF0000"/>
        <rFont val="Lucida Sans"/>
        <family val="2"/>
        <scheme val="minor"/>
      </rPr>
      <t>(lessons 5 &amp; 6)</t>
    </r>
  </si>
  <si>
    <t>Unit 4 Test</t>
  </si>
  <si>
    <r>
      <t xml:space="preserve">Unit 5 Lesson 1                                           </t>
    </r>
    <r>
      <rPr>
        <sz val="11"/>
        <color theme="1" tint="0.34998626667073579"/>
        <rFont val="Lucida Sans"/>
        <family val="2"/>
        <scheme val="minor"/>
      </rPr>
      <t xml:space="preserve">  Mean Value Thm</t>
    </r>
  </si>
  <si>
    <r>
      <t xml:space="preserve">Lesson 2                                                     </t>
    </r>
    <r>
      <rPr>
        <sz val="11"/>
        <color theme="1" tint="0.34998626667073579"/>
        <rFont val="Lucida Sans"/>
        <family val="2"/>
        <scheme val="minor"/>
      </rPr>
      <t>Extrema on an interval</t>
    </r>
  </si>
  <si>
    <t>Calculus Coloring</t>
  </si>
  <si>
    <t>Thanksgiving Break</t>
  </si>
  <si>
    <r>
      <t xml:space="preserve">Lesson 3  </t>
    </r>
    <r>
      <rPr>
        <sz val="11"/>
        <color theme="1" tint="0.34998626667073579"/>
        <rFont val="Lucida Sans"/>
        <family val="2"/>
        <scheme val="minor"/>
      </rPr>
      <t xml:space="preserve">             First Derivative Test</t>
    </r>
  </si>
  <si>
    <r>
      <t xml:space="preserve">Lesson 3  </t>
    </r>
    <r>
      <rPr>
        <sz val="11"/>
        <color theme="1" tint="0.34998626667073579"/>
        <rFont val="Lucida Sans"/>
        <family val="2"/>
        <scheme val="minor"/>
      </rPr>
      <t xml:space="preserve">            Cont.</t>
    </r>
  </si>
  <si>
    <r>
      <t xml:space="preserve">Lesson 4                                                   </t>
    </r>
    <r>
      <rPr>
        <sz val="11"/>
        <color theme="1" tint="0.34998626667073579"/>
        <rFont val="Lucida Sans"/>
        <family val="2"/>
        <scheme val="minor"/>
      </rPr>
      <t>2nd Derivative Test</t>
    </r>
  </si>
  <si>
    <t>Unit 5 Quiz 1</t>
  </si>
  <si>
    <r>
      <t xml:space="preserve">Lesson 5                                           </t>
    </r>
    <r>
      <rPr>
        <sz val="11"/>
        <color theme="1" tint="0.34998626667073579"/>
        <rFont val="Lucida Sans"/>
        <family val="2"/>
        <scheme val="minor"/>
      </rPr>
      <t xml:space="preserve"> Curve Sketching</t>
    </r>
  </si>
  <si>
    <t>Lesson 5 Cont.</t>
  </si>
  <si>
    <r>
      <t xml:space="preserve">Lesson 6                                            </t>
    </r>
    <r>
      <rPr>
        <sz val="11"/>
        <color theme="1" tint="0.34998626667073579"/>
        <rFont val="Lucida Sans"/>
        <family val="2"/>
        <scheme val="minor"/>
      </rPr>
      <t>Optimization</t>
    </r>
  </si>
  <si>
    <r>
      <t xml:space="preserve">AP Classroom Quiz </t>
    </r>
    <r>
      <rPr>
        <sz val="11"/>
        <color rgb="FFFF0000"/>
        <rFont val="Lucida Sans"/>
        <family val="2"/>
        <scheme val="minor"/>
      </rPr>
      <t>(lessons 3-6)</t>
    </r>
  </si>
  <si>
    <t>Midterms - Full Day</t>
  </si>
  <si>
    <t>Midterms - Early Release</t>
  </si>
  <si>
    <t>Unit 5 Test</t>
  </si>
  <si>
    <t>Holiday Break</t>
  </si>
  <si>
    <r>
      <t xml:space="preserve">First Day Back        Unit 6 Lesson 1 </t>
    </r>
    <r>
      <rPr>
        <sz val="10"/>
        <color theme="1" tint="0.34998626667073579"/>
        <rFont val="Lucida Sans"/>
        <family val="2"/>
        <scheme val="minor"/>
      </rPr>
      <t>Approximating Areas with Riemann Sums</t>
    </r>
  </si>
  <si>
    <r>
      <t xml:space="preserve">Lesson 2                                              </t>
    </r>
    <r>
      <rPr>
        <sz val="11"/>
        <color theme="1" tint="0.34998626667073579"/>
        <rFont val="Lucida Sans"/>
        <family val="2"/>
        <scheme val="minor"/>
      </rPr>
      <t>Summation Notation</t>
    </r>
  </si>
  <si>
    <r>
      <t xml:space="preserve">Lesson 3 </t>
    </r>
    <r>
      <rPr>
        <sz val="11"/>
        <color theme="1" tint="0.34998626667073579"/>
        <rFont val="Lucida Sans"/>
        <family val="2"/>
        <scheme val="minor"/>
      </rPr>
      <t>Accumulation Functions</t>
    </r>
  </si>
  <si>
    <r>
      <t xml:space="preserve">Lesson 3 Cont.          </t>
    </r>
    <r>
      <rPr>
        <sz val="11"/>
        <color theme="1" tint="0.34998626667073579"/>
        <rFont val="Lucida Sans"/>
        <family val="2"/>
        <scheme val="minor"/>
      </rPr>
      <t>+ review/practice</t>
    </r>
  </si>
  <si>
    <t>Unit 6 Quiz 1</t>
  </si>
  <si>
    <r>
      <t xml:space="preserve">Lesson 4                                                   </t>
    </r>
    <r>
      <rPr>
        <sz val="11"/>
        <color theme="1" tint="0.34998626667073579"/>
        <rFont val="Lucida Sans"/>
        <family val="2"/>
        <scheme val="minor"/>
      </rPr>
      <t>Applying Properties of Definite Integrals</t>
    </r>
  </si>
  <si>
    <r>
      <t xml:space="preserve">Lesson 5 </t>
    </r>
    <r>
      <rPr>
        <sz val="11"/>
        <color theme="1" tint="0.34998626667073579"/>
        <rFont val="Lucida Sans"/>
        <family val="2"/>
        <scheme val="minor"/>
      </rPr>
      <t>Antiderivatives</t>
    </r>
  </si>
  <si>
    <t>MLK Holiday</t>
  </si>
  <si>
    <r>
      <t xml:space="preserve">Lesson 5 Cont. </t>
    </r>
    <r>
      <rPr>
        <sz val="11"/>
        <color theme="1" tint="0.34998626667073579"/>
        <rFont val="Lucida Sans"/>
        <family val="2"/>
        <scheme val="minor"/>
      </rPr>
      <t>Solving Differentials</t>
    </r>
  </si>
  <si>
    <r>
      <t xml:space="preserve">Lesson 6                                                         </t>
    </r>
    <r>
      <rPr>
        <sz val="11"/>
        <color theme="1" tint="0.34998626667073579"/>
        <rFont val="Lucida Sans"/>
        <family val="2"/>
        <scheme val="minor"/>
      </rPr>
      <t>FTC &amp; Definite Integrals</t>
    </r>
  </si>
  <si>
    <r>
      <t xml:space="preserve">AP Classroom Quiz </t>
    </r>
    <r>
      <rPr>
        <sz val="11"/>
        <color rgb="FFFF0000"/>
        <rFont val="Lucida Sans"/>
        <family val="2"/>
        <scheme val="minor"/>
      </rPr>
      <t>(lessons 4-6)</t>
    </r>
  </si>
  <si>
    <r>
      <t xml:space="preserve">Lesson 7                             </t>
    </r>
    <r>
      <rPr>
        <sz val="11"/>
        <color theme="1" tint="0.34998626667073579"/>
        <rFont val="Lucida Sans"/>
        <family val="2"/>
        <scheme val="minor"/>
      </rPr>
      <t>U-sub</t>
    </r>
  </si>
  <si>
    <t>Lesson 7 cont. &amp; practice</t>
  </si>
  <si>
    <r>
      <t xml:space="preserve">Lesson 8                                       </t>
    </r>
    <r>
      <rPr>
        <sz val="11"/>
        <color theme="1" tint="0.34998626667073579"/>
        <rFont val="Lucida Sans"/>
        <family val="2"/>
        <scheme val="minor"/>
      </rPr>
      <t>Transcendental Functions</t>
    </r>
  </si>
  <si>
    <t>Review &amp; Practice</t>
  </si>
  <si>
    <t>Unit 6 Test Part 1</t>
  </si>
  <si>
    <t>Feb. 2nd -                     Unit 6 Test Part 2</t>
  </si>
  <si>
    <t>Unit 6 Test Part 2</t>
  </si>
  <si>
    <r>
      <t xml:space="preserve">Unit 7 Lesson 1                              </t>
    </r>
    <r>
      <rPr>
        <sz val="11"/>
        <color theme="1" tint="0.34998626667073579"/>
        <rFont val="Lucida Sans"/>
        <family val="2"/>
        <scheme val="minor"/>
      </rPr>
      <t>Differential Equations</t>
    </r>
  </si>
  <si>
    <r>
      <t xml:space="preserve">Lesson 2                                                   </t>
    </r>
    <r>
      <rPr>
        <sz val="11"/>
        <color theme="1" tint="0.34998626667073579"/>
        <rFont val="Lucida Sans"/>
        <family val="2"/>
        <scheme val="minor"/>
      </rPr>
      <t>Slope Fields</t>
    </r>
  </si>
  <si>
    <t>Slope Fields Practice</t>
  </si>
  <si>
    <r>
      <t xml:space="preserve">Unit 7 Quiz 1 </t>
    </r>
    <r>
      <rPr>
        <sz val="11"/>
        <color theme="1" tint="0.34998626667073579"/>
        <rFont val="Lucida Sans"/>
        <family val="2"/>
        <scheme val="minor"/>
      </rPr>
      <t>(lessons 1 &amp; 2)</t>
    </r>
  </si>
  <si>
    <r>
      <t xml:space="preserve">Lesson 3                                         </t>
    </r>
    <r>
      <rPr>
        <sz val="11"/>
        <color theme="1" tint="0.34998626667073579"/>
        <rFont val="Lucida Sans"/>
        <family val="2"/>
        <scheme val="minor"/>
      </rPr>
      <t>Separation of Variables</t>
    </r>
  </si>
  <si>
    <t>Winter Break</t>
  </si>
  <si>
    <r>
      <rPr>
        <b/>
        <sz val="11"/>
        <color theme="1" tint="0.24994659260841701"/>
        <rFont val="Lucida Sans"/>
        <family val="2"/>
        <scheme val="minor"/>
      </rPr>
      <t xml:space="preserve">Lesson 4                                                </t>
    </r>
    <r>
      <rPr>
        <sz val="11"/>
        <color theme="1" tint="0.24994659260841701"/>
        <rFont val="Lucida Sans"/>
        <family val="2"/>
        <scheme val="minor"/>
      </rPr>
      <t>Growth &amp; Decay</t>
    </r>
  </si>
  <si>
    <r>
      <t xml:space="preserve">Unit 7 Quiz 2         </t>
    </r>
    <r>
      <rPr>
        <b/>
        <sz val="11"/>
        <color rgb="FFFF0000"/>
        <rFont val="Lucida Sans"/>
        <family val="2"/>
        <scheme val="minor"/>
      </rPr>
      <t xml:space="preserve">  </t>
    </r>
    <r>
      <rPr>
        <sz val="11"/>
        <color rgb="FFFF0000"/>
        <rFont val="Lucida Sans"/>
        <family val="2"/>
        <scheme val="minor"/>
      </rPr>
      <t>(AP Classroom Cumulative)</t>
    </r>
  </si>
  <si>
    <t>Unit 7 Test</t>
  </si>
  <si>
    <r>
      <t xml:space="preserve">Unit 8 Lesson 1                                                              </t>
    </r>
    <r>
      <rPr>
        <sz val="11"/>
        <color theme="1" tint="0.34998626667073579"/>
        <rFont val="Lucida Sans"/>
        <family val="2"/>
        <scheme val="minor"/>
      </rPr>
      <t>Average Value for Integrals</t>
    </r>
  </si>
  <si>
    <t>Average Value Practice</t>
  </si>
  <si>
    <r>
      <rPr>
        <b/>
        <sz val="11"/>
        <color theme="1" tint="0.24994659260841701"/>
        <rFont val="Lucida Sans"/>
        <family val="2"/>
        <scheme val="minor"/>
      </rPr>
      <t xml:space="preserve">Lesson 2 </t>
    </r>
    <r>
      <rPr>
        <sz val="11"/>
        <color theme="1" tint="0.24994659260841701"/>
        <rFont val="Lucida Sans"/>
        <family val="2"/>
        <scheme val="minor"/>
      </rPr>
      <t xml:space="preserve">                       Particle Motion</t>
    </r>
  </si>
  <si>
    <t>Lesson 2 Cont.</t>
  </si>
  <si>
    <r>
      <rPr>
        <b/>
        <sz val="11"/>
        <color theme="1" tint="0.24994659260841701"/>
        <rFont val="Lucida Sans"/>
        <family val="2"/>
        <scheme val="minor"/>
      </rPr>
      <t xml:space="preserve">Lesson 3                                   </t>
    </r>
    <r>
      <rPr>
        <sz val="11"/>
        <color theme="1" tint="0.24994659260841701"/>
        <rFont val="Lucida Sans"/>
        <family val="2"/>
        <scheme val="minor"/>
      </rPr>
      <t xml:space="preserve">            Applied Contexts</t>
    </r>
  </si>
  <si>
    <t>Unit 8 Quiz 1</t>
  </si>
  <si>
    <r>
      <t xml:space="preserve">Lesson 4                   </t>
    </r>
    <r>
      <rPr>
        <sz val="11"/>
        <color theme="1" tint="0.34998626667073579"/>
        <rFont val="Lucida Sans"/>
        <family val="2"/>
        <scheme val="minor"/>
      </rPr>
      <t xml:space="preserve"> Area between curves</t>
    </r>
  </si>
  <si>
    <t>Lesson 4 Cont.</t>
  </si>
  <si>
    <r>
      <t xml:space="preserve">Lesson 5                                                </t>
    </r>
    <r>
      <rPr>
        <sz val="11"/>
        <color theme="1" tint="0.34998626667073579"/>
        <rFont val="Lucida Sans"/>
        <family val="2"/>
        <scheme val="minor"/>
      </rPr>
      <t xml:space="preserve"> volume by cross sections</t>
    </r>
  </si>
  <si>
    <r>
      <t xml:space="preserve">Online Learning </t>
    </r>
    <r>
      <rPr>
        <sz val="11"/>
        <color rgb="FFFF0000"/>
        <rFont val="Lucida Sans"/>
        <family val="2"/>
        <scheme val="minor"/>
      </rPr>
      <t>(Delta Math "Test")</t>
    </r>
  </si>
  <si>
    <r>
      <t xml:space="preserve">Lesson 6                                             </t>
    </r>
    <r>
      <rPr>
        <sz val="11"/>
        <color theme="1" tint="0.34998626667073579"/>
        <rFont val="Lucida Sans"/>
        <family val="2"/>
        <scheme val="minor"/>
      </rPr>
      <t>volume by disc &amp; washer</t>
    </r>
  </si>
  <si>
    <r>
      <t xml:space="preserve">Lesson 7 - </t>
    </r>
    <r>
      <rPr>
        <sz val="11"/>
        <color theme="1" tint="0.34998626667073579"/>
        <rFont val="Lucida Sans"/>
        <family val="2"/>
        <scheme val="minor"/>
      </rPr>
      <t>Volume about other axis</t>
    </r>
  </si>
  <si>
    <t>Lesson 7 Cont.</t>
  </si>
  <si>
    <r>
      <t xml:space="preserve">Unit 8 Quiz 2       </t>
    </r>
    <r>
      <rPr>
        <sz val="11"/>
        <color rgb="FFFF0000"/>
        <rFont val="Lucida Sans"/>
        <family val="2"/>
        <scheme val="minor"/>
      </rPr>
      <t xml:space="preserve"> (AP Classroom Quiz)</t>
    </r>
  </si>
  <si>
    <t>Unit 8 Test</t>
  </si>
  <si>
    <t>Post Spring Break Expectations</t>
  </si>
  <si>
    <t>Spring Break</t>
  </si>
  <si>
    <t>AP CALCULUS AB &amp; BC EXAM</t>
  </si>
  <si>
    <t>Gradudation 8:30AM Online Learning Day</t>
  </si>
  <si>
    <t>Early Release - Midterms</t>
  </si>
  <si>
    <t>Post 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</si>
</sst>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"/>
  </numFmts>
  <fonts count="34">
    <font>
      <sz val="11"/>
      <color theme="1" tint="0.24994659260841701"/>
      <name val="Lucida Sans"/>
      <family val="2"/>
      <scheme val="minor"/>
    </font>
    <font>
      <sz val="8"/>
      <name val="Arial"/>
      <family val="2"/>
    </font>
    <font>
      <sz val="10"/>
      <name val="Century Gothic"/>
      <family val="2"/>
    </font>
    <font>
      <b/>
      <sz val="11"/>
      <color theme="0"/>
      <name val="Lucida Sans"/>
      <family val="2"/>
      <scheme val="minor"/>
    </font>
    <font>
      <b/>
      <sz val="14"/>
      <color theme="0"/>
      <name val="Lucida Sans"/>
      <family val="2"/>
      <scheme val="minor"/>
    </font>
    <font>
      <sz val="35"/>
      <color theme="4"/>
      <name val="Lucida Sans"/>
      <family val="2"/>
      <scheme val="minor"/>
    </font>
    <font>
      <sz val="11"/>
      <color theme="1" tint="0.34998626667073579"/>
      <name val="Lucida Sans"/>
      <family val="2"/>
      <scheme val="minor"/>
    </font>
    <font>
      <sz val="11"/>
      <color theme="4" tint="-0.24994659260841701"/>
      <name val="Lucida Sans"/>
      <family val="2"/>
      <scheme val="minor"/>
    </font>
    <font>
      <sz val="11"/>
      <color indexed="63"/>
      <name val="Lucida Sans"/>
      <family val="2"/>
      <scheme val="minor"/>
    </font>
    <font>
      <b/>
      <sz val="11"/>
      <color theme="1" tint="0.34998626667073579"/>
      <name val="Lucida Sans"/>
      <family val="2"/>
      <scheme val="minor"/>
    </font>
    <font>
      <sz val="11"/>
      <color theme="1" tint="0.24994659260841701"/>
      <name val="Lucida Sans"/>
      <family val="2"/>
      <scheme val="minor"/>
    </font>
    <font>
      <i/>
      <sz val="11"/>
      <color theme="1" tint="0.34998626667073579"/>
      <name val="Lucida Sans"/>
      <family val="2"/>
      <charset val="238"/>
      <scheme val="minor"/>
    </font>
    <font>
      <sz val="11"/>
      <color theme="1" tint="0.34998626667073579"/>
      <name val="Lucida Sans"/>
      <family val="2"/>
      <charset val="238"/>
      <scheme val="minor"/>
    </font>
    <font>
      <b/>
      <sz val="11"/>
      <color theme="1" tint="0.34998626667073579"/>
      <name val="Lucida Sans"/>
      <family val="2"/>
      <charset val="238"/>
      <scheme val="minor"/>
    </font>
    <font>
      <sz val="35"/>
      <color theme="1"/>
      <name val="Rockwell"/>
      <family val="1"/>
      <scheme val="major"/>
    </font>
    <font>
      <sz val="11"/>
      <color theme="1"/>
      <name val="Rockwell"/>
      <family val="1"/>
      <scheme val="major"/>
    </font>
    <font>
      <b/>
      <sz val="11"/>
      <color theme="1" tint="0.24994659260841701"/>
      <name val="Lucida Sans"/>
      <family val="2"/>
      <charset val="238"/>
      <scheme val="minor"/>
    </font>
    <font>
      <sz val="35"/>
      <color theme="0"/>
      <name val="Rockwell"/>
      <family val="1"/>
      <scheme val="major"/>
    </font>
    <font>
      <sz val="35"/>
      <color theme="0"/>
      <name val="Lucida Sans"/>
      <family val="2"/>
      <scheme val="minor"/>
    </font>
    <font>
      <sz val="11"/>
      <color theme="0"/>
      <name val="Lucida Sans"/>
      <family val="2"/>
      <scheme val="minor"/>
    </font>
    <font>
      <b/>
      <sz val="16"/>
      <color theme="1" tint="0.34998626667073579"/>
      <name val="Lucida Sans"/>
      <family val="2"/>
      <charset val="238"/>
      <scheme val="minor"/>
    </font>
    <font>
      <b/>
      <sz val="24"/>
      <color theme="1" tint="0.34998626667073579"/>
      <name val="Lucida Sans"/>
      <family val="2"/>
      <scheme val="minor"/>
    </font>
    <font>
      <b/>
      <sz val="36"/>
      <color theme="1" tint="0.34998626667073579"/>
      <name val="Lucida Sans"/>
      <family val="2"/>
      <scheme val="minor"/>
    </font>
    <font>
      <b/>
      <sz val="24"/>
      <color theme="1" tint="0.34998626667073579"/>
      <name val="Lucida Sans"/>
      <family val="2"/>
      <charset val="238"/>
      <scheme val="minor"/>
    </font>
    <font>
      <b/>
      <sz val="11"/>
      <color rgb="FFFF0000"/>
      <name val="Lucida Sans"/>
      <family val="2"/>
      <charset val="238"/>
      <scheme val="minor"/>
    </font>
    <font>
      <sz val="11"/>
      <color rgb="FFFF0000"/>
      <name val="Lucida Sans"/>
      <family val="2"/>
      <scheme val="minor"/>
    </font>
    <font>
      <sz val="11"/>
      <name val="Lucida Sans"/>
      <family val="2"/>
      <scheme val="minor"/>
    </font>
    <font>
      <b/>
      <sz val="10"/>
      <color theme="1" tint="0.34998626667073579"/>
      <name val="Lucida Sans"/>
      <family val="2"/>
      <scheme val="minor"/>
    </font>
    <font>
      <sz val="10"/>
      <color theme="1" tint="0.34998626667073579"/>
      <name val="Lucida Sans"/>
      <family val="2"/>
      <scheme val="minor"/>
    </font>
    <font>
      <b/>
      <sz val="11"/>
      <color rgb="FFFF0000"/>
      <name val="Lucida Sans"/>
      <family val="2"/>
      <scheme val="minor"/>
    </font>
    <font>
      <b/>
      <sz val="11"/>
      <color theme="1" tint="0.24994659260841701"/>
      <name val="Lucida Sans"/>
      <family val="2"/>
      <scheme val="minor"/>
    </font>
    <font>
      <b/>
      <sz val="11"/>
      <color rgb="FF595959"/>
      <name val="Lucida Sans"/>
      <scheme val="minor"/>
    </font>
    <font>
      <sz val="11"/>
      <color rgb="FF595959"/>
      <name val="Lucida Sans"/>
      <scheme val="minor"/>
    </font>
    <font>
      <b/>
      <sz val="11"/>
      <color rgb="FF595959"/>
      <name val="Lucida Sans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n">
        <color theme="1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9">
    <xf numFmtId="0" fontId="0" fillId="0" borderId="0">
      <alignment vertical="top"/>
    </xf>
    <xf numFmtId="0" fontId="8" fillId="3" borderId="0" applyNumberFormat="0" applyBorder="0" applyAlignment="0" applyProtection="0"/>
    <xf numFmtId="0" fontId="7" fillId="0" borderId="3" applyNumberFormat="0" applyFill="0" applyProtection="0">
      <alignment horizontal="left" vertical="center" indent="1"/>
    </xf>
    <xf numFmtId="0" fontId="3" fillId="4" borderId="1" applyNumberFormat="0" applyAlignment="0" applyProtection="0"/>
    <xf numFmtId="0" fontId="4" fillId="5" borderId="2" applyNumberFormat="0" applyProtection="0">
      <alignment vertical="center"/>
    </xf>
    <xf numFmtId="0" fontId="5" fillId="0" borderId="0" applyFill="0" applyBorder="0" applyProtection="0">
      <alignment vertical="center"/>
    </xf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" fillId="6" borderId="0" applyBorder="0" applyProtection="0">
      <alignment horizontal="left" vertical="top" wrapText="1" indent="1"/>
    </xf>
    <xf numFmtId="0" fontId="7" fillId="0" borderId="0" applyFill="0" applyProtection="0"/>
    <xf numFmtId="0" fontId="10" fillId="0" borderId="0" applyFill="0" applyProtection="0"/>
    <xf numFmtId="0" fontId="14" fillId="2" borderId="0">
      <alignment vertical="center"/>
    </xf>
    <xf numFmtId="0" fontId="15" fillId="0" borderId="4">
      <alignment horizontal="left" vertical="center" indent="1"/>
    </xf>
    <xf numFmtId="164" fontId="9" fillId="7" borderId="0">
      <alignment horizontal="left" wrapText="1" indent="1"/>
    </xf>
    <xf numFmtId="164" fontId="13" fillId="0" borderId="0">
      <alignment horizontal="left" indent="1"/>
    </xf>
    <xf numFmtId="0" fontId="12" fillId="0" borderId="0" applyAlignment="0">
      <alignment horizontal="left"/>
    </xf>
  </cellStyleXfs>
  <cellXfs count="112">
    <xf numFmtId="0" fontId="0" fillId="0" borderId="0" xfId="0">
      <alignment vertical="top"/>
    </xf>
    <xf numFmtId="0" fontId="0" fillId="2" borderId="0" xfId="0" applyFill="1">
      <alignment vertical="top"/>
    </xf>
    <xf numFmtId="0" fontId="2" fillId="0" borderId="0" xfId="0" applyFont="1">
      <alignment vertical="top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right"/>
    </xf>
    <xf numFmtId="0" fontId="15" fillId="0" borderId="4" xfId="15">
      <alignment horizontal="left" vertical="center" indent="1"/>
    </xf>
    <xf numFmtId="0" fontId="16" fillId="0" borderId="0" xfId="13" applyFont="1" applyAlignment="1">
      <alignment horizontal="right"/>
    </xf>
    <xf numFmtId="164" fontId="11" fillId="8" borderId="5" xfId="0" applyNumberFormat="1" applyFont="1" applyFill="1" applyBorder="1" applyAlignment="1">
      <alignment horizontal="left" indent="1"/>
    </xf>
    <xf numFmtId="0" fontId="9" fillId="8" borderId="8" xfId="11" applyFill="1" applyBorder="1" applyAlignment="1">
      <alignment vertical="top" wrapText="1"/>
    </xf>
    <xf numFmtId="164" fontId="9" fillId="7" borderId="0" xfId="16">
      <alignment horizontal="left" wrapText="1" indent="1"/>
    </xf>
    <xf numFmtId="164" fontId="13" fillId="7" borderId="0" xfId="16" applyFont="1">
      <alignment horizontal="left" wrapText="1" indent="1"/>
    </xf>
    <xf numFmtId="164" fontId="13" fillId="0" borderId="0" xfId="17">
      <alignment horizontal="left" indent="1"/>
    </xf>
    <xf numFmtId="0" fontId="12" fillId="0" borderId="0" xfId="18" applyAlignment="1">
      <alignment horizontal="left"/>
    </xf>
    <xf numFmtId="0" fontId="16" fillId="0" borderId="0" xfId="13" applyFont="1" applyAlignment="1">
      <alignment horizontal="right" vertical="top"/>
    </xf>
    <xf numFmtId="0" fontId="12" fillId="0" borderId="0" xfId="18" applyAlignment="1">
      <alignment horizontal="left" vertical="top"/>
    </xf>
    <xf numFmtId="0" fontId="5" fillId="9" borderId="0" xfId="5" applyFill="1" applyBorder="1" applyAlignment="1">
      <alignment horizontal="left" vertical="center"/>
    </xf>
    <xf numFmtId="0" fontId="7" fillId="9" borderId="0" xfId="2" applyFill="1" applyBorder="1" applyAlignment="1">
      <alignment vertical="center"/>
    </xf>
    <xf numFmtId="0" fontId="14" fillId="11" borderId="0" xfId="14" applyFill="1">
      <alignment vertical="center"/>
    </xf>
    <xf numFmtId="0" fontId="5" fillId="11" borderId="0" xfId="5" applyFill="1" applyBorder="1" applyAlignment="1">
      <alignment horizontal="left" vertical="center"/>
    </xf>
    <xf numFmtId="0" fontId="7" fillId="11" borderId="0" xfId="2" applyFill="1" applyBorder="1" applyAlignment="1">
      <alignment vertical="center"/>
    </xf>
    <xf numFmtId="0" fontId="5" fillId="11" borderId="0" xfId="5" applyFill="1" applyAlignment="1">
      <alignment horizontal="left" vertical="center"/>
    </xf>
    <xf numFmtId="0" fontId="14" fillId="12" borderId="0" xfId="14" applyFill="1">
      <alignment vertical="center"/>
    </xf>
    <xf numFmtId="0" fontId="5" fillId="12" borderId="0" xfId="5" applyFill="1" applyBorder="1" applyAlignment="1">
      <alignment horizontal="left" vertical="center"/>
    </xf>
    <xf numFmtId="0" fontId="7" fillId="12" borderId="0" xfId="2" applyFill="1" applyBorder="1" applyAlignment="1">
      <alignment vertical="center"/>
    </xf>
    <xf numFmtId="0" fontId="5" fillId="12" borderId="0" xfId="5" applyFill="1" applyBorder="1" applyAlignment="1">
      <alignment horizontal="right" vertical="center"/>
    </xf>
    <xf numFmtId="0" fontId="14" fillId="13" borderId="0" xfId="14" applyFill="1">
      <alignment vertical="center"/>
    </xf>
    <xf numFmtId="0" fontId="5" fillId="13" borderId="0" xfId="5" applyFill="1" applyBorder="1" applyAlignment="1">
      <alignment horizontal="left" vertical="center"/>
    </xf>
    <xf numFmtId="0" fontId="7" fillId="13" borderId="0" xfId="2" applyFill="1" applyBorder="1" applyAlignment="1">
      <alignment vertical="center"/>
    </xf>
    <xf numFmtId="0" fontId="5" fillId="13" borderId="0" xfId="5" applyFill="1" applyBorder="1" applyAlignment="1">
      <alignment horizontal="right" vertical="center"/>
    </xf>
    <xf numFmtId="0" fontId="14" fillId="9" borderId="0" xfId="14" applyFill="1">
      <alignment vertical="center"/>
    </xf>
    <xf numFmtId="0" fontId="5" fillId="9" borderId="0" xfId="5" applyFill="1" applyBorder="1" applyAlignment="1">
      <alignment horizontal="right" vertical="center"/>
    </xf>
    <xf numFmtId="0" fontId="14" fillId="14" borderId="0" xfId="14" applyFill="1">
      <alignment vertical="center"/>
    </xf>
    <xf numFmtId="0" fontId="5" fillId="14" borderId="0" xfId="5" applyFill="1" applyBorder="1" applyAlignment="1">
      <alignment horizontal="left" vertical="center"/>
    </xf>
    <xf numFmtId="0" fontId="7" fillId="14" borderId="0" xfId="2" applyFill="1" applyBorder="1" applyAlignment="1">
      <alignment vertical="center"/>
    </xf>
    <xf numFmtId="0" fontId="5" fillId="14" borderId="0" xfId="5" applyFill="1" applyBorder="1" applyAlignment="1">
      <alignment horizontal="right" vertical="center"/>
    </xf>
    <xf numFmtId="0" fontId="17" fillId="10" borderId="0" xfId="14" applyFont="1" applyFill="1">
      <alignment vertical="center"/>
    </xf>
    <xf numFmtId="0" fontId="18" fillId="10" borderId="0" xfId="5" applyFont="1" applyFill="1" applyBorder="1" applyAlignment="1">
      <alignment horizontal="left" vertical="center"/>
    </xf>
    <xf numFmtId="0" fontId="19" fillId="10" borderId="0" xfId="2" applyFont="1" applyFill="1" applyBorder="1" applyAlignment="1">
      <alignment vertical="center"/>
    </xf>
    <xf numFmtId="0" fontId="18" fillId="10" borderId="0" xfId="5" applyFont="1" applyFill="1" applyBorder="1" applyAlignment="1">
      <alignment horizontal="right" vertical="center"/>
    </xf>
    <xf numFmtId="0" fontId="14" fillId="15" borderId="0" xfId="14" applyFill="1">
      <alignment vertical="center"/>
    </xf>
    <xf numFmtId="0" fontId="5" fillId="15" borderId="0" xfId="5" applyFill="1" applyBorder="1" applyAlignment="1">
      <alignment horizontal="left" vertical="center"/>
    </xf>
    <xf numFmtId="0" fontId="7" fillId="15" borderId="0" xfId="2" applyFill="1" applyBorder="1" applyAlignment="1">
      <alignment vertical="center"/>
    </xf>
    <xf numFmtId="0" fontId="5" fillId="15" borderId="0" xfId="5" applyFill="1" applyBorder="1" applyAlignment="1">
      <alignment horizontal="right" vertical="center"/>
    </xf>
    <xf numFmtId="0" fontId="14" fillId="16" borderId="0" xfId="14" applyFill="1">
      <alignment vertical="center"/>
    </xf>
    <xf numFmtId="0" fontId="5" fillId="16" borderId="0" xfId="5" applyFill="1" applyBorder="1" applyAlignment="1">
      <alignment horizontal="left" vertical="center"/>
    </xf>
    <xf numFmtId="0" fontId="7" fillId="16" borderId="0" xfId="2" applyFill="1" applyBorder="1" applyAlignment="1">
      <alignment vertical="center"/>
    </xf>
    <xf numFmtId="0" fontId="5" fillId="16" borderId="0" xfId="5" applyFill="1" applyBorder="1" applyAlignment="1">
      <alignment horizontal="right" vertical="center"/>
    </xf>
    <xf numFmtId="0" fontId="14" fillId="17" borderId="0" xfId="14" applyFill="1">
      <alignment vertical="center"/>
    </xf>
    <xf numFmtId="0" fontId="5" fillId="17" borderId="0" xfId="5" applyFill="1" applyBorder="1" applyAlignment="1">
      <alignment horizontal="left" vertical="center"/>
    </xf>
    <xf numFmtId="0" fontId="7" fillId="17" borderId="0" xfId="2" applyFill="1" applyBorder="1" applyAlignment="1">
      <alignment vertical="center"/>
    </xf>
    <xf numFmtId="0" fontId="5" fillId="17" borderId="0" xfId="5" applyFill="1" applyBorder="1" applyAlignment="1">
      <alignment horizontal="right" vertical="center"/>
    </xf>
    <xf numFmtId="0" fontId="5" fillId="18" borderId="0" xfId="5" applyFill="1" applyBorder="1" applyAlignment="1">
      <alignment horizontal="left" vertical="center"/>
    </xf>
    <xf numFmtId="0" fontId="7" fillId="18" borderId="0" xfId="2" applyFill="1" applyBorder="1" applyAlignment="1">
      <alignment vertical="center"/>
    </xf>
    <xf numFmtId="0" fontId="5" fillId="18" borderId="0" xfId="5" applyFill="1" applyBorder="1" applyAlignment="1">
      <alignment horizontal="right" vertical="center"/>
    </xf>
    <xf numFmtId="0" fontId="5" fillId="19" borderId="0" xfId="5" applyFill="1" applyBorder="1" applyAlignment="1">
      <alignment horizontal="left" vertical="center"/>
    </xf>
    <xf numFmtId="0" fontId="7" fillId="19" borderId="0" xfId="2" applyFill="1" applyBorder="1" applyAlignment="1">
      <alignment vertical="center"/>
    </xf>
    <xf numFmtId="0" fontId="5" fillId="19" borderId="0" xfId="5" applyFill="1" applyBorder="1" applyAlignment="1">
      <alignment horizontal="right" vertical="center"/>
    </xf>
    <xf numFmtId="0" fontId="17" fillId="18" borderId="0" xfId="14" applyFont="1" applyFill="1">
      <alignment vertical="center"/>
    </xf>
    <xf numFmtId="0" fontId="14" fillId="20" borderId="0" xfId="14" applyFill="1">
      <alignment vertical="center"/>
    </xf>
    <xf numFmtId="0" fontId="5" fillId="20" borderId="0" xfId="5" applyFill="1" applyBorder="1" applyAlignment="1">
      <alignment horizontal="left" vertical="center"/>
    </xf>
    <xf numFmtId="0" fontId="7" fillId="20" borderId="0" xfId="2" applyFill="1" applyBorder="1" applyAlignment="1">
      <alignment vertical="center"/>
    </xf>
    <xf numFmtId="0" fontId="5" fillId="20" borderId="0" xfId="5" applyFill="1" applyBorder="1" applyAlignment="1">
      <alignment horizontal="right" vertical="center"/>
    </xf>
    <xf numFmtId="0" fontId="17" fillId="19" borderId="0" xfId="14" applyFont="1" applyFill="1">
      <alignment vertical="center"/>
    </xf>
    <xf numFmtId="164" fontId="9" fillId="7" borderId="0" xfId="16" applyAlignment="1">
      <alignment horizontal="left" vertical="center" wrapText="1" indent="1"/>
    </xf>
    <xf numFmtId="164" fontId="13" fillId="0" borderId="0" xfId="17" applyAlignment="1">
      <alignment horizontal="center" vertical="center"/>
    </xf>
    <xf numFmtId="0" fontId="0" fillId="0" borderId="0" xfId="0" applyAlignment="1">
      <alignment horizontal="center" vertical="center"/>
    </xf>
    <xf numFmtId="164" fontId="9" fillId="7" borderId="0" xfId="16" applyAlignment="1">
      <alignment horizontal="center" vertical="center" wrapText="1"/>
    </xf>
    <xf numFmtId="164" fontId="9" fillId="21" borderId="0" xfId="16" applyFill="1" applyAlignment="1">
      <alignment horizontal="center" vertical="center" wrapText="1"/>
    </xf>
    <xf numFmtId="164" fontId="9" fillId="24" borderId="0" xfId="16" applyFill="1" applyAlignment="1">
      <alignment horizontal="center" vertical="center" wrapText="1"/>
    </xf>
    <xf numFmtId="164" fontId="13" fillId="24" borderId="0" xfId="16" applyFont="1" applyFill="1" applyAlignment="1">
      <alignment horizontal="center" vertical="center" wrapText="1"/>
    </xf>
    <xf numFmtId="164" fontId="13" fillId="21" borderId="0" xfId="17" applyFill="1" applyAlignment="1">
      <alignment horizontal="center" vertical="center"/>
    </xf>
    <xf numFmtId="164" fontId="13" fillId="24" borderId="0" xfId="17" applyFill="1" applyAlignment="1">
      <alignment horizontal="center" vertical="center"/>
    </xf>
    <xf numFmtId="164" fontId="9" fillId="23" borderId="0" xfId="16" applyFill="1" applyAlignment="1">
      <alignment horizontal="center" vertical="center" wrapText="1"/>
    </xf>
    <xf numFmtId="164" fontId="13" fillId="0" borderId="0" xfId="17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6" fillId="25" borderId="0" xfId="16" applyFont="1" applyFill="1" applyAlignment="1">
      <alignment horizontal="left" vertical="center" wrapText="1" indent="1"/>
    </xf>
    <xf numFmtId="164" fontId="13" fillId="23" borderId="0" xfId="17" applyFill="1" applyAlignment="1">
      <alignment horizontal="center" vertical="center" wrapText="1"/>
    </xf>
    <xf numFmtId="164" fontId="13" fillId="26" borderId="0" xfId="17" applyFill="1" applyAlignment="1">
      <alignment horizontal="center" vertical="center" wrapText="1"/>
    </xf>
    <xf numFmtId="164" fontId="13" fillId="26" borderId="0" xfId="17" applyFill="1" applyAlignment="1">
      <alignment horizontal="center" vertical="center"/>
    </xf>
    <xf numFmtId="164" fontId="9" fillId="26" borderId="0" xfId="16" applyFill="1" applyAlignment="1">
      <alignment horizontal="center" vertical="center" wrapText="1"/>
    </xf>
    <xf numFmtId="164" fontId="24" fillId="27" borderId="0" xfId="17" applyFont="1" applyFill="1" applyAlignment="1">
      <alignment horizontal="center" vertical="center" wrapText="1"/>
    </xf>
    <xf numFmtId="164" fontId="13" fillId="27" borderId="0" xfId="17" applyFill="1" applyAlignment="1">
      <alignment horizontal="center" vertical="center" wrapText="1"/>
    </xf>
    <xf numFmtId="164" fontId="9" fillId="8" borderId="0" xfId="16" applyFill="1">
      <alignment horizontal="left" wrapText="1" indent="1"/>
    </xf>
    <xf numFmtId="164" fontId="13" fillId="23" borderId="0" xfId="17" applyFill="1" applyAlignment="1">
      <alignment horizontal="center" vertical="center"/>
    </xf>
    <xf numFmtId="164" fontId="27" fillId="25" borderId="0" xfId="16" applyFont="1" applyFill="1" applyAlignment="1">
      <alignment horizontal="center" vertical="center" wrapText="1"/>
    </xf>
    <xf numFmtId="164" fontId="13" fillId="7" borderId="0" xfId="16" applyFont="1" applyAlignment="1">
      <alignment horizontal="center" vertical="center" wrapText="1"/>
    </xf>
    <xf numFmtId="164" fontId="13" fillId="24" borderId="0" xfId="17" applyFill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164" fontId="13" fillId="23" borderId="0" xfId="17" applyFill="1" applyAlignment="1">
      <alignment horizontal="left" vertical="center" wrapText="1" indent="1"/>
    </xf>
    <xf numFmtId="164" fontId="13" fillId="0" borderId="0" xfId="17" applyAlignment="1">
      <alignment horizontal="left" wrapText="1" indent="1"/>
    </xf>
    <xf numFmtId="164" fontId="13" fillId="21" borderId="0" xfId="17" applyFill="1" applyAlignment="1">
      <alignment horizontal="center"/>
    </xf>
    <xf numFmtId="164" fontId="33" fillId="7" borderId="0" xfId="16" applyFont="1" applyAlignment="1">
      <alignment horizontal="center" vertical="center" wrapText="1"/>
    </xf>
    <xf numFmtId="0" fontId="0" fillId="8" borderId="6" xfId="0" applyFill="1" applyBorder="1">
      <alignment vertical="top"/>
    </xf>
    <xf numFmtId="0" fontId="0" fillId="8" borderId="7" xfId="0" applyFill="1" applyBorder="1">
      <alignment vertical="top"/>
    </xf>
    <xf numFmtId="0" fontId="0" fillId="8" borderId="9" xfId="0" applyFill="1" applyBorder="1">
      <alignment vertical="top"/>
    </xf>
    <xf numFmtId="0" fontId="0" fillId="8" borderId="10" xfId="0" applyFill="1" applyBorder="1">
      <alignment vertical="top"/>
    </xf>
    <xf numFmtId="164" fontId="22" fillId="21" borderId="0" xfId="17" applyFont="1" applyFill="1" applyAlignment="1">
      <alignment horizontal="center"/>
    </xf>
    <xf numFmtId="164" fontId="20" fillId="21" borderId="0" xfId="17" applyFont="1" applyFill="1" applyAlignment="1">
      <alignment horizontal="center"/>
    </xf>
    <xf numFmtId="164" fontId="13" fillId="0" borderId="0" xfId="17" applyAlignment="1">
      <alignment horizontal="center" vertical="center" wrapText="1"/>
    </xf>
    <xf numFmtId="164" fontId="31" fillId="7" borderId="0" xfId="16" applyFont="1" applyAlignment="1">
      <alignment horizontal="center" vertical="center" wrapText="1"/>
    </xf>
    <xf numFmtId="164" fontId="9" fillId="7" borderId="0" xfId="16" applyAlignment="1">
      <alignment horizontal="center" vertical="center" wrapText="1"/>
    </xf>
    <xf numFmtId="164" fontId="9" fillId="23" borderId="0" xfId="16" applyFill="1" applyAlignment="1">
      <alignment horizontal="center" vertical="center" wrapText="1"/>
    </xf>
    <xf numFmtId="0" fontId="15" fillId="0" borderId="4" xfId="15" applyAlignment="1">
      <alignment horizontal="center" vertical="center"/>
    </xf>
    <xf numFmtId="164" fontId="23" fillId="24" borderId="0" xfId="17" applyFont="1" applyFill="1" applyAlignment="1">
      <alignment horizontal="center" vertical="center"/>
    </xf>
    <xf numFmtId="164" fontId="21" fillId="24" borderId="0" xfId="16" applyFont="1" applyFill="1" applyAlignment="1">
      <alignment horizontal="center" vertical="center" wrapText="1"/>
    </xf>
    <xf numFmtId="164" fontId="13" fillId="0" borderId="9" xfId="17" applyBorder="1" applyAlignment="1">
      <alignment horizontal="center" vertical="center" wrapText="1"/>
    </xf>
    <xf numFmtId="164" fontId="22" fillId="21" borderId="0" xfId="16" applyFont="1" applyFill="1" applyAlignment="1">
      <alignment horizontal="center" wrapText="1"/>
    </xf>
    <xf numFmtId="164" fontId="13" fillId="21" borderId="0" xfId="17" applyFill="1" applyAlignment="1">
      <alignment horizontal="center"/>
    </xf>
    <xf numFmtId="164" fontId="22" fillId="22" borderId="0" xfId="16" applyFont="1" applyFill="1" applyAlignment="1">
      <alignment horizontal="center" wrapText="1"/>
    </xf>
    <xf numFmtId="164" fontId="13" fillId="7" borderId="0" xfId="16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3" fillId="23" borderId="9" xfId="17" applyFill="1" applyBorder="1" applyAlignment="1">
      <alignment horizontal="center" vertical="center" wrapText="1"/>
    </xf>
  </cellXfs>
  <cellStyles count="19">
    <cellStyle name="40% - Accent1" xfId="1" builtinId="31" customBuiltin="1"/>
    <cellStyle name="Accent1" xfId="3" builtinId="29" customBuiltin="1"/>
    <cellStyle name="Accent5" xfId="4" builtinId="45" customBuiltin="1"/>
    <cellStyle name="Banded" xfId="16" xr:uid="{372A1842-8DB4-4B05-A4F9-194B0B56EABA}"/>
    <cellStyle name="Comma" xfId="6" builtinId="3" customBuiltin="1"/>
    <cellStyle name="Comma [0]" xfId="7" builtinId="6" customBuiltin="1"/>
    <cellStyle name="Currency" xfId="8" builtinId="4" customBuiltin="1"/>
    <cellStyle name="Currency [0]" xfId="9" builtinId="7" customBuiltin="1"/>
    <cellStyle name="Day" xfId="17" xr:uid="{CB09B5E3-8995-4BCC-99D7-4E3B52C29B71}"/>
    <cellStyle name="Day-Name" xfId="15" xr:uid="{F4C59F2B-B807-4231-B5C0-B51F441FA314}"/>
    <cellStyle name="Heading 1" xfId="2" builtinId="16" customBuiltin="1"/>
    <cellStyle name="Heading 2" xfId="12" builtinId="17" customBuiltin="1"/>
    <cellStyle name="Heading 3" xfId="13" builtinId="18" customBuiltin="1"/>
    <cellStyle name="Heading 4" xfId="11" builtinId="19" customBuiltin="1"/>
    <cellStyle name="Month" xfId="14" xr:uid="{0620BD55-CC6D-4E32-846C-ED1E5CA86C76}"/>
    <cellStyle name="Normal" xfId="0" builtinId="0" customBuiltin="1"/>
    <cellStyle name="Percent" xfId="10" builtinId="5" customBuiltin="1"/>
    <cellStyle name="Settings Entry" xfId="18" xr:uid="{8F0303C9-060A-4378-B3BA-99408B995F90}"/>
    <cellStyle name="Title" xfId="5" builtinId="15" customBuiltin="1"/>
  </cellStyles>
  <dxfs count="5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orsythk12org-my.sharepoint.com/personal/f39850_forsythk12_org/Documents/School%20Calendar%20Pacing%20Guides/2027%20Calendar.xlsx" TargetMode="External"/><Relationship Id="rId1" Type="http://schemas.openxmlformats.org/officeDocument/2006/relationships/externalLinkPath" Target="file:///C:\Users\f41151\Downloads\2027%20Calend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</sheetNames>
    <sheetDataSet>
      <sheetData sheetId="0">
        <row r="3">
          <cell r="K3">
            <v>2027</v>
          </cell>
        </row>
        <row r="4">
          <cell r="K4" t="str">
            <v>SUNDAY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Personal">
  <a:themeElements>
    <a:clrScheme name="Rainbow">
      <a:dk1>
        <a:srgbClr val="000000"/>
      </a:dk1>
      <a:lt1>
        <a:srgbClr val="FFFFFF"/>
      </a:lt1>
      <a:dk2>
        <a:srgbClr val="7E8083"/>
      </a:dk2>
      <a:lt2>
        <a:srgbClr val="E4E5E6"/>
      </a:lt2>
      <a:accent1>
        <a:srgbClr val="7AC143"/>
      </a:accent1>
      <a:accent2>
        <a:srgbClr val="00853E"/>
      </a:accent2>
      <a:accent3>
        <a:srgbClr val="00ADEE"/>
      </a:accent3>
      <a:accent4>
        <a:srgbClr val="FFC000"/>
      </a:accent4>
      <a:accent5>
        <a:srgbClr val="F47920"/>
      </a:accent5>
      <a:accent6>
        <a:srgbClr val="E51937"/>
      </a:accent6>
      <a:hlink>
        <a:srgbClr val="F47920"/>
      </a:hlink>
      <a:folHlink>
        <a:srgbClr val="954F72"/>
      </a:folHlink>
    </a:clrScheme>
    <a:fontScheme name="Custom 2">
      <a:majorFont>
        <a:latin typeface="Rockwell"/>
        <a:ea typeface=""/>
        <a:cs typeface=""/>
      </a:majorFont>
      <a:minorFont>
        <a:latin typeface="Lucid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6"/>
    <pageSetUpPr autoPageBreaks="0" fitToPage="1"/>
  </sheetPr>
  <dimension ref="A1:K14"/>
  <sheetViews>
    <sheetView showGridLines="0" zoomScaleNormal="100" workbookViewId="0">
      <selection activeCell="K4" sqref="K4"/>
    </sheetView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2.78515625" customWidth="1"/>
    <col min="11" max="11" width="13.78515625" customWidth="1"/>
  </cols>
  <sheetData>
    <row r="1" spans="1:11" s="1" customFormat="1" ht="60" customHeight="1">
      <c r="A1"/>
      <c r="B1" s="17" t="str">
        <f>"January "&amp;CalendarYear</f>
        <v>January 2026</v>
      </c>
      <c r="C1" s="18"/>
      <c r="D1" s="18"/>
      <c r="E1" s="19"/>
      <c r="F1" s="19"/>
      <c r="G1" s="19"/>
      <c r="H1" s="20"/>
    </row>
    <row r="2" spans="1:11" s="2" customFormat="1" ht="21.75" customHeight="1">
      <c r="A2"/>
      <c r="B2" s="5" t="str">
        <f>WeekStart</f>
        <v>SUNDAY</v>
      </c>
      <c r="C2" s="5" t="str">
        <f t="shared" ref="C2:H2" si="0">UPPER(TEXT(C3,"dddd"))</f>
        <v>MONDAY</v>
      </c>
      <c r="D2" s="5" t="str">
        <f>UPPER(TEXT(D3,"dddd"))</f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  <c r="J2" s="102" t="s">
        <v>0</v>
      </c>
      <c r="K2" s="102"/>
    </row>
    <row r="3" spans="1:11" s="3" customFormat="1" ht="19.5" customHeight="1">
      <c r="A3"/>
      <c r="B3" s="11">
        <f t="array" ref="B3:H3">DaysAndWeeks+DATE(CalendarYear,1,1)-WEEKDAY(DATE(CalendarYear,1,1),(WeekStart="Monday")+1)+1</f>
        <v>46019</v>
      </c>
      <c r="C3" s="11">
        <v>46020</v>
      </c>
      <c r="D3" s="11">
        <v>46021</v>
      </c>
      <c r="E3" s="11">
        <v>46022</v>
      </c>
      <c r="F3" s="11">
        <v>46023</v>
      </c>
      <c r="G3" s="11">
        <v>46024</v>
      </c>
      <c r="H3" s="11">
        <v>46025</v>
      </c>
      <c r="J3" s="6" t="s">
        <v>1</v>
      </c>
      <c r="K3" s="12">
        <v>2026</v>
      </c>
    </row>
    <row r="4" spans="1:11" ht="58" customHeight="1">
      <c r="B4" s="11"/>
      <c r="C4" s="11"/>
      <c r="D4" s="11"/>
      <c r="E4" s="11"/>
      <c r="F4" s="11"/>
      <c r="G4" s="11"/>
      <c r="H4" s="11"/>
      <c r="J4" s="13" t="s">
        <v>2</v>
      </c>
      <c r="K4" s="14" t="s">
        <v>3</v>
      </c>
    </row>
    <row r="5" spans="1:11" s="3" customFormat="1" ht="19.5" customHeight="1">
      <c r="A5"/>
      <c r="B5" s="10">
        <f t="array" ref="B5:H5">DaysAndWeeks+DATE(CalendarYear,1,1)-WEEKDAY(DATE(CalendarYear,1,1),(WeekStart="Monday")+1)+8</f>
        <v>46026</v>
      </c>
      <c r="C5" s="10">
        <v>46027</v>
      </c>
      <c r="D5" s="10">
        <v>46028</v>
      </c>
      <c r="E5" s="10">
        <v>46029</v>
      </c>
      <c r="F5" s="10">
        <v>46030</v>
      </c>
      <c r="G5" s="10">
        <v>46031</v>
      </c>
      <c r="H5" s="10">
        <v>46032</v>
      </c>
    </row>
    <row r="6" spans="1:11" ht="58" customHeight="1">
      <c r="B6" s="10"/>
      <c r="C6" s="10"/>
      <c r="D6" s="10"/>
      <c r="E6" s="10"/>
      <c r="F6" s="10"/>
      <c r="G6" s="10"/>
      <c r="H6" s="10"/>
      <c r="J6" s="4"/>
    </row>
    <row r="7" spans="1:11" s="3" customFormat="1" ht="19.5" customHeight="1">
      <c r="A7"/>
      <c r="B7" s="11">
        <f t="array" ref="B7:H7">DaysAndWeeks+DATE(CalendarYear,1,1)-WEEKDAY(DATE(CalendarYear,1,1),(WeekStart="Monday")+1)+15</f>
        <v>46033</v>
      </c>
      <c r="C7" s="11">
        <v>46034</v>
      </c>
      <c r="D7" s="11">
        <v>46035</v>
      </c>
      <c r="E7" s="11">
        <v>46036</v>
      </c>
      <c r="F7" s="11">
        <v>46037</v>
      </c>
      <c r="G7" s="11">
        <v>46038</v>
      </c>
      <c r="H7" s="11">
        <v>46039</v>
      </c>
      <c r="J7" s="4"/>
    </row>
    <row r="8" spans="1:11" ht="58" customHeight="1">
      <c r="B8" s="11"/>
      <c r="C8" s="11"/>
      <c r="D8" s="11"/>
      <c r="E8" s="11"/>
      <c r="F8" s="11"/>
      <c r="G8" s="11"/>
      <c r="H8" s="11"/>
    </row>
    <row r="9" spans="1:11" s="3" customFormat="1" ht="19.5" customHeight="1">
      <c r="A9"/>
      <c r="B9" s="9">
        <f t="array" ref="B9:H9">DaysAndWeeks+DATE(CalendarYear,1,1)-WEEKDAY(DATE(CalendarYear,1,1),(WeekStart="Monday")+1)+22</f>
        <v>46040</v>
      </c>
      <c r="C9" s="9">
        <v>46041</v>
      </c>
      <c r="D9" s="9">
        <v>46042</v>
      </c>
      <c r="E9" s="9">
        <v>46043</v>
      </c>
      <c r="F9" s="9">
        <v>46044</v>
      </c>
      <c r="G9" s="9">
        <v>46045</v>
      </c>
      <c r="H9" s="9">
        <v>46046</v>
      </c>
    </row>
    <row r="10" spans="1:11" ht="58" customHeight="1">
      <c r="B10" s="9"/>
      <c r="C10" s="9"/>
      <c r="D10" s="9"/>
      <c r="E10" s="9"/>
      <c r="F10" s="9"/>
      <c r="G10" s="9"/>
      <c r="H10" s="9"/>
    </row>
    <row r="11" spans="1:11" s="3" customFormat="1" ht="19.5" customHeight="1">
      <c r="A11"/>
      <c r="B11" s="11">
        <f t="array" ref="B11:H11">DaysAndWeeks+DATE(CalendarYear,1,1)-WEEKDAY(DATE(CalendarYear,1,1),(WeekStart="Monday")+1)+29</f>
        <v>46047</v>
      </c>
      <c r="C11" s="11">
        <v>46048</v>
      </c>
      <c r="D11" s="11">
        <v>46049</v>
      </c>
      <c r="E11" s="11">
        <v>46050</v>
      </c>
      <c r="F11" s="11">
        <v>46051</v>
      </c>
      <c r="G11" s="11">
        <v>46052</v>
      </c>
      <c r="H11" s="11">
        <v>46053</v>
      </c>
    </row>
    <row r="12" spans="1:11" ht="58" customHeight="1">
      <c r="B12" s="11"/>
      <c r="C12" s="11"/>
      <c r="D12" s="11"/>
      <c r="E12" s="11"/>
      <c r="F12" s="11"/>
      <c r="G12" s="11"/>
      <c r="H12" s="11"/>
    </row>
    <row r="13" spans="1:11" s="3" customFormat="1" ht="19.5" customHeight="1">
      <c r="A13"/>
      <c r="B13" s="9">
        <f t="array" ref="B13:C13">DaysAndWeeks+DATE(CalendarYear,1,1)-WEEKDAY(DATE(CalendarYear,1,1),(WeekStart="Monday")+1)+36</f>
        <v>46054</v>
      </c>
      <c r="C13" s="9">
        <v>46055</v>
      </c>
      <c r="D13" s="7" t="s">
        <v>4</v>
      </c>
      <c r="E13" s="92"/>
      <c r="F13" s="92"/>
      <c r="G13" s="92"/>
      <c r="H13" s="93"/>
    </row>
    <row r="14" spans="1:11" ht="58" customHeight="1">
      <c r="B14" s="9"/>
      <c r="C14" s="9"/>
      <c r="D14" s="8"/>
      <c r="E14" s="94"/>
      <c r="F14" s="94"/>
      <c r="G14" s="94"/>
      <c r="H14" s="95"/>
    </row>
  </sheetData>
  <mergeCells count="2">
    <mergeCell ref="E13:H14"/>
    <mergeCell ref="J2:K2"/>
  </mergeCells>
  <phoneticPr fontId="1" type="noConversion"/>
  <conditionalFormatting sqref="B13:D13">
    <cfRule type="expression" dxfId="50" priority="1">
      <formula>AND(DAY(B13)&gt;=1,DAY(B13)&lt;=15)</formula>
    </cfRule>
  </conditionalFormatting>
  <conditionalFormatting sqref="B3:G3">
    <cfRule type="expression" dxfId="49" priority="24">
      <formula>DAY(B3)&gt;8</formula>
    </cfRule>
  </conditionalFormatting>
  <conditionalFormatting sqref="B11:H11">
    <cfRule type="expression" dxfId="48" priority="25">
      <formula>AND(DAY(B11)&gt;=1,DAY(B11)&lt;=15)</formula>
    </cfRule>
  </conditionalFormatting>
  <dataValidations count="14">
    <dataValidation type="list" errorStyle="warning" allowBlank="1" showInputMessage="1" showErrorMessage="1" error="Select a day from the list. Select CANCEL, then press ALT+DOWN ARROW to pick day from the drop-down list" prompt="Select week start day in this cell. Press ALT+DOWN ARROW to open the drop-down list, then press ENTER to select the week start day" sqref="K4" xr:uid="{00000000-0002-0000-0000-000000000000}">
      <formula1>"SUNDAY,MONDAY"</formula1>
    </dataValidation>
    <dataValidation allowBlank="1" showInputMessage="1" showErrorMessage="1" prompt="Create custom one-month calendars in this workbook. Customize the year and starting day of the week for all months with this January worksheet. Each month is on a separate worksheet" sqref="A1" xr:uid="{00000000-0002-0000-0000-000001000000}"/>
    <dataValidation allowBlank="1" showInputMessage="1" showErrorMessage="1" prompt="Enter year and select calendar start day in the cells below. These Calendar Settings cells will not print" sqref="J2" xr:uid="{00000000-0002-0000-0000-000003000000}"/>
    <dataValidation allowBlank="1" showInputMessage="1" showErrorMessage="1" prompt="Enter year in cell at right" sqref="J3" xr:uid="{00000000-0002-0000-0000-000004000000}"/>
    <dataValidation allowBlank="1" showInputMessage="1" showErrorMessage="1" prompt="Select week start day in cell at right" sqref="J4" xr:uid="{00000000-0002-0000-0000-000005000000}"/>
    <dataValidation allowBlank="1" showInputMessage="1" showErrorMessage="1" prompt="Enter year in this cell" sqref="K3" xr:uid="{00000000-0002-0000-0000-000006000000}"/>
    <dataValidation allowBlank="1" showInputMessage="1" showErrorMessage="1" prompt="This row contains the weekday names for this calendar. This cell contains the starting day of the week. To change the starting day, enter a new weekday in cell K4" sqref="B2" xr:uid="{00000000-0002-0000-0000-000007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000-000008000000}"/>
    <dataValidation allowBlank="1" showErrorMessage="1" prompt="The year in this cell is automatically updated based on the year entered in cell K2. Calendar below has dates for previous and next month with lighter font shade" sqref="B1" xr:uid="{00000000-0002-0000-0000-000009000000}"/>
    <dataValidation allowBlank="1" showInputMessage="1" showErrorMessage="1" prompt="Automatically determined weekday" sqref="C2:H2" xr:uid="{00000000-0002-0000-0000-00000A000000}"/>
    <dataValidation allowBlank="1" showInputMessage="1" showErrorMessage="1" prompt="This row &amp; rows 6, 8, 10, 12, &amp; 14 are cells for entering daily notes related to the calendar day in the cell above" sqref="B4" xr:uid="{00000000-0002-0000-0000-00000B000000}"/>
    <dataValidation allowBlank="1" showInputMessage="1" showErrorMessage="1" prompt="Enter Notes in this cell" sqref="E13:H14" xr:uid="{00000000-0002-0000-0000-00000C000000}"/>
    <dataValidation allowBlank="1" showInputMessage="1" showErrorMessage="1" prompt="Enter Notes in the cell at right" sqref="D13:D14" xr:uid="{00000000-0002-0000-0000-00000D000000}"/>
    <dataValidation allowBlank="1" showInputMessage="1" showErrorMessage="1" prompt="The year in this cell is automatically updated. Select another year in cell K3 to change the year" sqref="C1" xr:uid="{68DB1B5F-672F-42EA-B173-279D18DF96BF}"/>
  </dataValidations>
  <printOptions horizontalCentered="1" verticalCentered="1"/>
  <pageMargins left="0.7" right="0.7" top="0.75" bottom="0.75" header="0.3" footer="0.3"/>
  <pageSetup scale="89" orientation="landscape" r:id="rId1"/>
  <headerFooter differentFirst="1" alignWithMargins="0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6" tint="0.39997558519241921"/>
    <pageSetUpPr fitToPage="1"/>
  </sheetPr>
  <dimension ref="A1:H14"/>
  <sheetViews>
    <sheetView showGridLines="0" zoomScaleNormal="100" workbookViewId="0"/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1:8" s="1" customFormat="1" ht="59.25" customHeight="1">
      <c r="A1"/>
      <c r="B1" s="25" t="str">
        <f>"February "&amp;CalendarYear</f>
        <v>February 2026</v>
      </c>
      <c r="C1" s="26"/>
      <c r="D1" s="26"/>
      <c r="E1" s="27"/>
      <c r="F1" s="27"/>
      <c r="G1" s="27"/>
      <c r="H1" s="28"/>
    </row>
    <row r="2" spans="1:8" s="2" customFormat="1" ht="21.75" customHeight="1">
      <c r="A2"/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1:8" s="3" customFormat="1" ht="19.5" customHeight="1">
      <c r="A3"/>
      <c r="B3" s="11">
        <f t="array" ref="B3:H3">DaysAndWeeks+DATE(CalendarYear,2,1)-WEEKDAY(DATE(CalendarYear,2,1),(WeekStart="Monday")+1)+1</f>
        <v>46054</v>
      </c>
      <c r="C3" s="11">
        <v>46055</v>
      </c>
      <c r="D3" s="11">
        <v>46056</v>
      </c>
      <c r="E3" s="11">
        <v>46057</v>
      </c>
      <c r="F3" s="11">
        <v>46058</v>
      </c>
      <c r="G3" s="11">
        <v>46059</v>
      </c>
      <c r="H3" s="11">
        <v>46060</v>
      </c>
    </row>
    <row r="4" spans="1:8" ht="58" customHeight="1">
      <c r="B4" s="11"/>
      <c r="C4" s="11"/>
      <c r="D4" s="11"/>
      <c r="E4" s="11"/>
      <c r="F4" s="11"/>
      <c r="G4" s="11"/>
      <c r="H4" s="11"/>
    </row>
    <row r="5" spans="1:8" s="3" customFormat="1" ht="19.5" customHeight="1">
      <c r="A5"/>
      <c r="B5" s="9">
        <f t="array" ref="B5:H5">DaysAndWeeks+DATE(CalendarYear,2,1)-WEEKDAY(DATE(CalendarYear,2,1),(WeekStart="Monday")+1)+8</f>
        <v>46061</v>
      </c>
      <c r="C5" s="9">
        <v>46062</v>
      </c>
      <c r="D5" s="9">
        <v>46063</v>
      </c>
      <c r="E5" s="9">
        <v>46064</v>
      </c>
      <c r="F5" s="9">
        <v>46065</v>
      </c>
      <c r="G5" s="9">
        <v>46066</v>
      </c>
      <c r="H5" s="9">
        <v>46067</v>
      </c>
    </row>
    <row r="6" spans="1:8" ht="58" customHeight="1">
      <c r="B6" s="9"/>
      <c r="C6" s="9"/>
      <c r="D6" s="9"/>
      <c r="E6" s="9"/>
      <c r="F6" s="9"/>
      <c r="G6" s="9"/>
      <c r="H6" s="9"/>
    </row>
    <row r="7" spans="1:8" s="3" customFormat="1" ht="19.5" customHeight="1">
      <c r="A7"/>
      <c r="B7" s="11">
        <f t="array" ref="B7:H7">DaysAndWeeks+DATE(CalendarYear,2,1)-WEEKDAY(DATE(CalendarYear,2,1),(WeekStart="Monday")+1)+15</f>
        <v>46068</v>
      </c>
      <c r="C7" s="11">
        <v>46069</v>
      </c>
      <c r="D7" s="11">
        <v>46070</v>
      </c>
      <c r="E7" s="11">
        <v>46071</v>
      </c>
      <c r="F7" s="11">
        <v>46072</v>
      </c>
      <c r="G7" s="11">
        <v>46073</v>
      </c>
      <c r="H7" s="11">
        <v>46074</v>
      </c>
    </row>
    <row r="8" spans="1:8" ht="58" customHeight="1">
      <c r="B8" s="11"/>
      <c r="C8" s="11"/>
      <c r="D8" s="11"/>
      <c r="E8" s="11"/>
      <c r="F8" s="11"/>
      <c r="G8" s="11"/>
      <c r="H8" s="11"/>
    </row>
    <row r="9" spans="1:8" s="3" customFormat="1" ht="19.5" customHeight="1">
      <c r="A9"/>
      <c r="B9" s="9">
        <f t="array" ref="B9:H9">DaysAndWeeks+DATE(CalendarYear,2,1)-WEEKDAY(DATE(CalendarYear,2,1),(WeekStart="Monday")+1)+22</f>
        <v>46075</v>
      </c>
      <c r="C9" s="9">
        <v>46076</v>
      </c>
      <c r="D9" s="9">
        <v>46077</v>
      </c>
      <c r="E9" s="9">
        <v>46078</v>
      </c>
      <c r="F9" s="9">
        <v>46079</v>
      </c>
      <c r="G9" s="9">
        <v>46080</v>
      </c>
      <c r="H9" s="9">
        <v>46081</v>
      </c>
    </row>
    <row r="10" spans="1:8" ht="58" customHeight="1">
      <c r="B10" s="9"/>
      <c r="C10" s="9"/>
      <c r="D10" s="9"/>
      <c r="E10" s="9"/>
      <c r="F10" s="9"/>
      <c r="G10" s="9"/>
      <c r="H10" s="9"/>
    </row>
    <row r="11" spans="1:8" s="3" customFormat="1" ht="19.5" customHeight="1">
      <c r="A11"/>
      <c r="B11" s="11">
        <f t="array" ref="B11:H11">DaysAndWeeks+DATE(CalendarYear,2,1)-WEEKDAY(DATE(CalendarYear,2,1),(WeekStart="Monday")+1)+29</f>
        <v>46082</v>
      </c>
      <c r="C11" s="11">
        <v>46083</v>
      </c>
      <c r="D11" s="11">
        <v>46084</v>
      </c>
      <c r="E11" s="11">
        <v>46085</v>
      </c>
      <c r="F11" s="11">
        <v>46086</v>
      </c>
      <c r="G11" s="11">
        <v>46087</v>
      </c>
      <c r="H11" s="11">
        <v>46088</v>
      </c>
    </row>
    <row r="12" spans="1:8" ht="58" customHeight="1">
      <c r="B12" s="11"/>
      <c r="C12" s="11"/>
      <c r="D12" s="11"/>
      <c r="E12" s="11"/>
      <c r="F12" s="11"/>
      <c r="G12" s="11"/>
      <c r="H12" s="11"/>
    </row>
    <row r="13" spans="1:8" s="3" customFormat="1" ht="19.5" customHeight="1">
      <c r="A13"/>
      <c r="B13" s="9">
        <f t="array" ref="B13:C13">DaysAndWeeks+DATE(CalendarYear,2,1)-WEEKDAY(DATE(CalendarYear,2,1),(WeekStart="Monday")+1)+36</f>
        <v>46089</v>
      </c>
      <c r="C13" s="9">
        <v>46090</v>
      </c>
      <c r="D13" s="7" t="s">
        <v>4</v>
      </c>
      <c r="E13" s="92"/>
      <c r="F13" s="92"/>
      <c r="G13" s="92"/>
      <c r="H13" s="93"/>
    </row>
    <row r="14" spans="1:8" ht="58" customHeight="1">
      <c r="B14" s="9"/>
      <c r="C14" s="9"/>
      <c r="D14" s="8"/>
      <c r="E14" s="94"/>
      <c r="F14" s="94"/>
      <c r="G14" s="94"/>
      <c r="H14" s="95"/>
    </row>
  </sheetData>
  <mergeCells count="1">
    <mergeCell ref="E13:H14"/>
  </mergeCells>
  <conditionalFormatting sqref="B13:D13">
    <cfRule type="expression" dxfId="47" priority="1">
      <formula>AND(DAY(B13)&gt;=1,DAY(B13)&lt;=15)</formula>
    </cfRule>
  </conditionalFormatting>
  <conditionalFormatting sqref="B3:G3">
    <cfRule type="expression" dxfId="46" priority="3">
      <formula>DAY(B3)&gt;8</formula>
    </cfRule>
  </conditionalFormatting>
  <conditionalFormatting sqref="B11:H11">
    <cfRule type="expression" dxfId="45" priority="4">
      <formula>AND(DAY(B11)&gt;=1,DAY(B11)&lt;=15)</formula>
    </cfRule>
  </conditionalFormatting>
  <dataValidations count="9">
    <dataValidation allowBlank="1" showInputMessage="1" showErrorMessage="1" prompt="Automatically determined weekday" sqref="C2:H2" xr:uid="{00000000-0002-0000-0100-000000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100-000001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100-000002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100-000003000000}"/>
    <dataValidation allowBlank="1" showInputMessage="1" showErrorMessage="1" prompt="February month calendar" sqref="A1" xr:uid="{00000000-0002-0000-0100-000005000000}"/>
    <dataValidation allowBlank="1" showInputMessage="1" showErrorMessage="1" prompt="Enter Notes in the cell at right" sqref="D13:D14" xr:uid="{00000000-0002-0000-0100-000006000000}"/>
    <dataValidation allowBlank="1" showInputMessage="1" showErrorMessage="1" prompt="Enter Notes in this cell" sqref="E13:H14" xr:uid="{00000000-0002-0000-0100-000007000000}"/>
    <dataValidation allowBlank="1" showInputMessage="1" showErrorMessage="1" prompt="This row &amp; rows 6, 8, 10, 12, &amp; 14 are cells for entering daily notes related to the calendar day in the cell above" sqref="B4" xr:uid="{00000000-0002-0000-0100-000008000000}"/>
    <dataValidation allowBlank="1" showInputMessage="1" showErrorMessage="1" prompt="The year in this cell is automatically updated. Select another year in cell K3 of the January worksheet to change the year" sqref="C1" xr:uid="{B76B5EE0-7A31-4E98-9046-DEB20A06C325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39997558519241921"/>
    <pageSetUpPr fitToPage="1"/>
  </sheetPr>
  <dimension ref="B1:H14"/>
  <sheetViews>
    <sheetView showGridLines="0" zoomScaleNormal="100" workbookViewId="0"/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2:8" ht="59.25" customHeight="1">
      <c r="B1" s="31" t="str">
        <f>"March "&amp;CalendarYear</f>
        <v>March 2026</v>
      </c>
      <c r="C1" s="32"/>
      <c r="D1" s="32"/>
      <c r="E1" s="33"/>
      <c r="F1" s="33"/>
      <c r="G1" s="33"/>
      <c r="H1" s="34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DaysAndWeeks+DATE(CalendarYear,3,1)-WEEKDAY(DATE(CalendarYear,3,1),(WeekStart="Monday")+1)+1</f>
        <v>46082</v>
      </c>
      <c r="C3" s="11">
        <v>46083</v>
      </c>
      <c r="D3" s="11">
        <v>46084</v>
      </c>
      <c r="E3" s="11">
        <v>46085</v>
      </c>
      <c r="F3" s="11">
        <v>46086</v>
      </c>
      <c r="G3" s="11">
        <v>46087</v>
      </c>
      <c r="H3" s="11">
        <v>46088</v>
      </c>
    </row>
    <row r="4" spans="2:8" ht="58" customHeight="1">
      <c r="H4" s="11"/>
    </row>
    <row r="5" spans="2:8" ht="19.5" customHeight="1">
      <c r="B5" s="9">
        <f t="array" ref="B5:H5">DaysAndWeeks+DATE(CalendarYear,3,1)-WEEKDAY(DATE(CalendarYear,3,1),(WeekStart="Monday")+1)+8</f>
        <v>46089</v>
      </c>
      <c r="C5" s="9">
        <v>46090</v>
      </c>
      <c r="D5" s="9">
        <v>46091</v>
      </c>
      <c r="E5" s="9">
        <v>46092</v>
      </c>
      <c r="F5" s="9">
        <v>46093</v>
      </c>
      <c r="G5" s="9">
        <v>46094</v>
      </c>
      <c r="H5" s="9">
        <v>46095</v>
      </c>
    </row>
    <row r="6" spans="2:8" ht="58" customHeight="1">
      <c r="B6" s="9"/>
      <c r="C6" s="9"/>
      <c r="D6" s="9"/>
      <c r="E6" s="9"/>
      <c r="F6" s="9"/>
      <c r="G6" s="9"/>
      <c r="H6" s="9"/>
    </row>
    <row r="7" spans="2:8" ht="19.5" customHeight="1">
      <c r="B7" s="11">
        <f t="array" ref="B7:H7">DaysAndWeeks+DATE(CalendarYear,3,1)-WEEKDAY(DATE(CalendarYear,3,1),(WeekStart="Monday")+1)+15</f>
        <v>46096</v>
      </c>
      <c r="C7" s="11">
        <v>46097</v>
      </c>
      <c r="D7" s="11">
        <v>46098</v>
      </c>
      <c r="E7" s="11">
        <v>46099</v>
      </c>
      <c r="F7" s="11">
        <v>46100</v>
      </c>
      <c r="G7" s="11">
        <v>46101</v>
      </c>
      <c r="H7" s="11">
        <v>46102</v>
      </c>
    </row>
    <row r="8" spans="2:8" ht="58" customHeight="1">
      <c r="B8" s="11"/>
      <c r="C8" s="11"/>
      <c r="D8" s="11"/>
      <c r="E8" s="11"/>
      <c r="F8" s="11"/>
      <c r="G8" s="11"/>
      <c r="H8" s="11"/>
    </row>
    <row r="9" spans="2:8" ht="19.5" customHeight="1">
      <c r="B9" s="9">
        <f t="array" ref="B9:H9">DaysAndWeeks+DATE(CalendarYear,3,1)-WEEKDAY(DATE(CalendarYear,3,1),(WeekStart="Monday")+1)+22</f>
        <v>46103</v>
      </c>
      <c r="C9" s="9">
        <v>46104</v>
      </c>
      <c r="D9" s="9">
        <v>46105</v>
      </c>
      <c r="E9" s="9">
        <v>46106</v>
      </c>
      <c r="F9" s="9">
        <v>46107</v>
      </c>
      <c r="G9" s="9">
        <v>46108</v>
      </c>
      <c r="H9" s="9">
        <v>46109</v>
      </c>
    </row>
    <row r="10" spans="2:8" ht="58" customHeight="1">
      <c r="B10" s="9"/>
      <c r="C10" s="9"/>
      <c r="D10" s="9"/>
      <c r="E10" s="9"/>
      <c r="F10" s="9"/>
      <c r="G10" s="9"/>
      <c r="H10" s="9"/>
    </row>
    <row r="11" spans="2:8" ht="19.5" customHeight="1">
      <c r="B11" s="11">
        <f t="array" ref="B11:H11">DaysAndWeeks+DATE(CalendarYear,3,1)-WEEKDAY(DATE(CalendarYear,3,1),(WeekStart="Monday")+1)+29</f>
        <v>46110</v>
      </c>
      <c r="C11" s="11">
        <v>46111</v>
      </c>
      <c r="D11" s="11">
        <v>46112</v>
      </c>
      <c r="E11" s="11">
        <v>46113</v>
      </c>
      <c r="F11" s="11">
        <v>46114</v>
      </c>
      <c r="G11" s="11">
        <v>46115</v>
      </c>
      <c r="H11" s="11">
        <v>46116</v>
      </c>
    </row>
    <row r="12" spans="2:8" ht="58" customHeight="1">
      <c r="B12" s="11"/>
      <c r="C12" s="11"/>
      <c r="D12" s="11"/>
      <c r="E12" s="11"/>
      <c r="F12" s="11"/>
      <c r="G12" s="11"/>
      <c r="H12" s="11"/>
    </row>
    <row r="13" spans="2:8" ht="19.5" customHeight="1">
      <c r="B13" s="9">
        <f t="array" ref="B13:C13">DaysAndWeeks+DATE(CalendarYear,3,1)-WEEKDAY(DATE(CalendarYear,3,1),(WeekStart="Monday")+1)+36</f>
        <v>46117</v>
      </c>
      <c r="C13" s="9">
        <v>46118</v>
      </c>
      <c r="D13" s="7" t="s">
        <v>4</v>
      </c>
      <c r="E13" s="92"/>
      <c r="F13" s="92"/>
      <c r="G13" s="92"/>
      <c r="H13" s="93"/>
    </row>
    <row r="14" spans="2:8" ht="58" customHeight="1">
      <c r="B14" s="9"/>
      <c r="C14" s="9"/>
      <c r="D14" s="8"/>
      <c r="E14" s="94"/>
      <c r="F14" s="94"/>
      <c r="G14" s="94"/>
      <c r="H14" s="95"/>
    </row>
  </sheetData>
  <mergeCells count="1">
    <mergeCell ref="E13:H14"/>
  </mergeCells>
  <conditionalFormatting sqref="B13:D13">
    <cfRule type="expression" dxfId="44" priority="7">
      <formula>AND(DAY(B13)&gt;=1,DAY(B13)&lt;=15)</formula>
    </cfRule>
  </conditionalFormatting>
  <conditionalFormatting sqref="B3:G3">
    <cfRule type="expression" dxfId="43" priority="1">
      <formula>DAY(B3)&gt;8</formula>
    </cfRule>
  </conditionalFormatting>
  <conditionalFormatting sqref="B11:H11">
    <cfRule type="expression" dxfId="42" priority="10">
      <formula>AND(DAY(B11)&gt;=1,DAY(B11)&lt;=15)</formula>
    </cfRule>
  </conditionalFormatting>
  <dataValidations xWindow="208" yWindow="410" count="9">
    <dataValidation allowBlank="1" showInputMessage="1" showErrorMessage="1" prompt="This row &amp; rows 6, 8, 10, 12, &amp; 14 are cells for entering daily notes related to the calendar day in the cell above" sqref="B4" xr:uid="{00000000-0002-0000-0200-000000000000}"/>
    <dataValidation allowBlank="1" showInputMessage="1" showErrorMessage="1" prompt="Enter Notes in this cell" sqref="E13:H14" xr:uid="{00000000-0002-0000-0200-000001000000}"/>
    <dataValidation allowBlank="1" showInputMessage="1" showErrorMessage="1" prompt="Enter Notes in the cell at right" sqref="D13:D14" xr:uid="{00000000-0002-0000-0200-000002000000}"/>
    <dataValidation allowBlank="1" showInputMessage="1" showErrorMessage="1" prompt="March month calendar" sqref="A1" xr:uid="{00000000-0002-0000-0200-000003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200-000005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200-000006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200-000007000000}"/>
    <dataValidation allowBlank="1" showInputMessage="1" showErrorMessage="1" prompt="Automatically determined weekday" sqref="C2:H2" xr:uid="{00000000-0002-0000-0200-000008000000}"/>
    <dataValidation allowBlank="1" showInputMessage="1" showErrorMessage="1" prompt="The year in this cell is automatically updated. Select another year in cell K3 of the January worksheet to change the year" sqref="C1" xr:uid="{C1995E01-AAE3-4041-A81C-0B13ED717A16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pageSetUpPr fitToPage="1"/>
  </sheetPr>
  <dimension ref="B1:H14"/>
  <sheetViews>
    <sheetView showGridLines="0" zoomScaleNormal="100" workbookViewId="0"/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2:8" ht="59.25" customHeight="1">
      <c r="B1" s="29" t="str">
        <f>"April "&amp;CalendarYear</f>
        <v>April 2026</v>
      </c>
      <c r="C1" s="15"/>
      <c r="D1" s="15"/>
      <c r="E1" s="16"/>
      <c r="F1" s="16"/>
      <c r="G1" s="16"/>
      <c r="H1" s="30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DaysAndWeeks+DATE(CalendarYear,4,1)-WEEKDAY(DATE(CalendarYear,4,1),(WeekStart="Monday")+1)+1</f>
        <v>46110</v>
      </c>
      <c r="C3" s="11">
        <v>46111</v>
      </c>
      <c r="D3" s="11">
        <v>46112</v>
      </c>
      <c r="E3" s="11">
        <v>46113</v>
      </c>
      <c r="F3" s="11">
        <v>46114</v>
      </c>
      <c r="G3" s="11">
        <v>46115</v>
      </c>
      <c r="H3" s="11">
        <v>46116</v>
      </c>
    </row>
    <row r="4" spans="2:8" ht="58" customHeight="1">
      <c r="B4" s="11"/>
      <c r="C4" s="11"/>
      <c r="D4" s="11"/>
      <c r="E4" s="11"/>
      <c r="F4" s="11"/>
      <c r="G4" s="11"/>
      <c r="H4" s="11"/>
    </row>
    <row r="5" spans="2:8" ht="19.5" customHeight="1">
      <c r="B5" s="9">
        <f t="array" ref="B5:H5">DaysAndWeeks+DATE(CalendarYear,4,1)-WEEKDAY(DATE(CalendarYear,4,1),(WeekStart="Monday")+1)+8</f>
        <v>46117</v>
      </c>
      <c r="C5" s="9">
        <v>46118</v>
      </c>
      <c r="D5" s="9">
        <v>46119</v>
      </c>
      <c r="E5" s="9">
        <v>46120</v>
      </c>
      <c r="F5" s="9">
        <v>46121</v>
      </c>
      <c r="G5" s="9">
        <v>46122</v>
      </c>
      <c r="H5" s="9">
        <v>46123</v>
      </c>
    </row>
    <row r="6" spans="2:8" ht="58" customHeight="1">
      <c r="B6" s="9"/>
      <c r="C6" s="9"/>
      <c r="D6" s="9"/>
      <c r="E6" s="9"/>
      <c r="F6" s="9"/>
      <c r="G6" s="9"/>
      <c r="H6" s="9"/>
    </row>
    <row r="7" spans="2:8" ht="19.5" customHeight="1">
      <c r="B7" s="11">
        <f t="array" ref="B7:H7">DaysAndWeeks+DATE(CalendarYear,4,1)-WEEKDAY(DATE(CalendarYear,4,1),(WeekStart="Monday")+1)+15</f>
        <v>46124</v>
      </c>
      <c r="C7" s="11">
        <v>46125</v>
      </c>
      <c r="D7" s="11">
        <v>46126</v>
      </c>
      <c r="E7" s="11">
        <v>46127</v>
      </c>
      <c r="F7" s="11">
        <v>46128</v>
      </c>
      <c r="G7" s="11">
        <v>46129</v>
      </c>
      <c r="H7" s="11">
        <v>46130</v>
      </c>
    </row>
    <row r="8" spans="2:8" ht="58" customHeight="1">
      <c r="B8" s="11"/>
      <c r="C8" s="11"/>
      <c r="D8" s="11"/>
      <c r="E8" s="11"/>
      <c r="F8" s="11"/>
      <c r="G8" s="11"/>
      <c r="H8" s="11"/>
    </row>
    <row r="9" spans="2:8" ht="19.5" customHeight="1">
      <c r="B9" s="9">
        <f t="array" ref="B9:H9">DaysAndWeeks+DATE(CalendarYear,4,1)-WEEKDAY(DATE(CalendarYear,4,1),(WeekStart="Monday")+1)+22</f>
        <v>46131</v>
      </c>
      <c r="C9" s="9">
        <v>46132</v>
      </c>
      <c r="D9" s="9">
        <v>46133</v>
      </c>
      <c r="E9" s="9">
        <v>46134</v>
      </c>
      <c r="F9" s="9">
        <v>46135</v>
      </c>
      <c r="G9" s="9">
        <v>46136</v>
      </c>
      <c r="H9" s="9">
        <v>46137</v>
      </c>
    </row>
    <row r="10" spans="2:8" ht="58" customHeight="1">
      <c r="B10" s="9"/>
      <c r="C10" s="9"/>
      <c r="D10" s="9"/>
      <c r="E10" s="9"/>
      <c r="F10" s="9"/>
      <c r="G10" s="9"/>
      <c r="H10" s="9"/>
    </row>
    <row r="11" spans="2:8" ht="19.5" customHeight="1">
      <c r="B11" s="11">
        <f t="array" ref="B11:H11">DaysAndWeeks+DATE(CalendarYear,4,1)-WEEKDAY(DATE(CalendarYear,4,1),(WeekStart="Monday")+1)+29</f>
        <v>46138</v>
      </c>
      <c r="C11" s="11">
        <v>46139</v>
      </c>
      <c r="D11" s="11">
        <v>46140</v>
      </c>
      <c r="E11" s="11">
        <v>46141</v>
      </c>
      <c r="F11" s="11">
        <v>46142</v>
      </c>
      <c r="G11" s="11">
        <v>46143</v>
      </c>
      <c r="H11" s="11">
        <v>46144</v>
      </c>
    </row>
    <row r="12" spans="2:8" ht="58" customHeight="1">
      <c r="B12" s="11"/>
      <c r="C12" s="11"/>
      <c r="D12" s="11"/>
      <c r="E12" s="11"/>
      <c r="F12" s="11"/>
      <c r="G12" s="11"/>
      <c r="H12" s="11"/>
    </row>
    <row r="13" spans="2:8" ht="19.5" customHeight="1">
      <c r="B13" s="9">
        <f t="array" ref="B13:C13">DaysAndWeeks+DATE(CalendarYear,4,1)-WEEKDAY(DATE(CalendarYear,4,1),(WeekStart="Monday")+1)+36</f>
        <v>46145</v>
      </c>
      <c r="C13" s="9">
        <v>46146</v>
      </c>
      <c r="D13" s="7" t="s">
        <v>4</v>
      </c>
      <c r="E13" s="92"/>
      <c r="F13" s="92"/>
      <c r="G13" s="92"/>
      <c r="H13" s="93"/>
    </row>
    <row r="14" spans="2:8" ht="58" customHeight="1">
      <c r="B14" s="9"/>
      <c r="C14" s="9"/>
      <c r="D14" s="8"/>
      <c r="E14" s="94"/>
      <c r="F14" s="94"/>
      <c r="G14" s="94"/>
      <c r="H14" s="95"/>
    </row>
  </sheetData>
  <mergeCells count="1">
    <mergeCell ref="E13:H14"/>
  </mergeCells>
  <conditionalFormatting sqref="B13:D13">
    <cfRule type="expression" dxfId="41" priority="1">
      <formula>AND(DAY(B13)&gt;=1,DAY(B13)&lt;=15)</formula>
    </cfRule>
  </conditionalFormatting>
  <conditionalFormatting sqref="B3:G3">
    <cfRule type="expression" dxfId="40" priority="3">
      <formula>DAY(B3)&gt;8</formula>
    </cfRule>
  </conditionalFormatting>
  <conditionalFormatting sqref="B11:H11">
    <cfRule type="expression" dxfId="39" priority="4">
      <formula>AND(DAY(B11)&gt;=1,DAY(B11)&lt;=15)</formula>
    </cfRule>
  </conditionalFormatting>
  <dataValidations count="9">
    <dataValidation allowBlank="1" showInputMessage="1" showErrorMessage="1" prompt="Automatically determined weekday" sqref="C2:H2" xr:uid="{00000000-0002-0000-0300-000000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300-000001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300-000002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300-000003000000}"/>
    <dataValidation allowBlank="1" showInputMessage="1" showErrorMessage="1" prompt="April month calendar" sqref="A1" xr:uid="{00000000-0002-0000-0300-000005000000}"/>
    <dataValidation allowBlank="1" showInputMessage="1" showErrorMessage="1" prompt="Enter Notes in the cell at right" sqref="D13:D14" xr:uid="{00000000-0002-0000-0300-000006000000}"/>
    <dataValidation allowBlank="1" showInputMessage="1" showErrorMessage="1" prompt="Enter Notes in this cell" sqref="E13:H14" xr:uid="{00000000-0002-0000-0300-000007000000}"/>
    <dataValidation allowBlank="1" showInputMessage="1" showErrorMessage="1" prompt="This row &amp; rows 6, 8, 10, 12, &amp; 14 are cells for entering daily notes related to the calendar day in the cell above" sqref="B4" xr:uid="{00000000-0002-0000-0300-000008000000}"/>
    <dataValidation allowBlank="1" showInputMessage="1" showErrorMessage="1" prompt="The year in this cell is automatically updated. Select another year in cell K3 of the January worksheet to change the year" sqref="C1" xr:uid="{D16B5673-0252-4E4D-BE2B-2E1EE12D2911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5"/>
    <pageSetUpPr fitToPage="1"/>
  </sheetPr>
  <dimension ref="B1:H14"/>
  <sheetViews>
    <sheetView showGridLines="0" zoomScaleNormal="100" workbookViewId="0"/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2:8" ht="59.25" customHeight="1">
      <c r="B1" s="35" t="str">
        <f>"May "&amp;CalendarYear</f>
        <v>May 2026</v>
      </c>
      <c r="C1" s="36"/>
      <c r="D1" s="36"/>
      <c r="E1" s="37"/>
      <c r="F1" s="37"/>
      <c r="G1" s="37"/>
      <c r="H1" s="38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DaysAndWeeks+DATE(CalendarYear,5,1)-WEEKDAY(DATE(CalendarYear,5,1),(WeekStart="Monday")+1)+1</f>
        <v>46138</v>
      </c>
      <c r="C3" s="11">
        <v>46139</v>
      </c>
      <c r="D3" s="11">
        <v>46140</v>
      </c>
      <c r="E3" s="11">
        <v>46141</v>
      </c>
      <c r="F3" s="11">
        <v>46142</v>
      </c>
      <c r="G3" s="11">
        <v>46143</v>
      </c>
      <c r="H3" s="11">
        <v>46144</v>
      </c>
    </row>
    <row r="4" spans="2:8" ht="58" customHeight="1">
      <c r="B4" s="11"/>
      <c r="C4" s="11"/>
      <c r="D4" s="11"/>
      <c r="E4" s="11"/>
      <c r="F4" s="11"/>
      <c r="G4" s="11"/>
      <c r="H4" s="11"/>
    </row>
    <row r="5" spans="2:8" ht="19.5" customHeight="1">
      <c r="B5" s="9">
        <f t="array" ref="B5:H5">DaysAndWeeks+DATE(CalendarYear,5,1)-WEEKDAY(DATE(CalendarYear,5,1),(WeekStart="Monday")+1)+8</f>
        <v>46145</v>
      </c>
      <c r="C5" s="9">
        <v>46146</v>
      </c>
      <c r="D5" s="9">
        <v>46147</v>
      </c>
      <c r="E5" s="9">
        <v>46148</v>
      </c>
      <c r="F5" s="9">
        <v>46149</v>
      </c>
      <c r="G5" s="9">
        <v>46150</v>
      </c>
      <c r="H5" s="9">
        <v>46151</v>
      </c>
    </row>
    <row r="6" spans="2:8" ht="58" customHeight="1">
      <c r="B6" s="9"/>
      <c r="C6" s="9"/>
      <c r="D6" s="9"/>
      <c r="E6" s="9"/>
      <c r="F6" s="9"/>
      <c r="G6" s="9"/>
      <c r="H6" s="9"/>
    </row>
    <row r="7" spans="2:8" ht="19.5" customHeight="1">
      <c r="B7" s="11">
        <f t="array" ref="B7:H7">DaysAndWeeks+DATE(CalendarYear,5,1)-WEEKDAY(DATE(CalendarYear,5,1),(WeekStart="Monday")+1)+15</f>
        <v>46152</v>
      </c>
      <c r="C7" s="11">
        <v>46153</v>
      </c>
      <c r="D7" s="11">
        <v>46154</v>
      </c>
      <c r="E7" s="11">
        <v>46155</v>
      </c>
      <c r="F7" s="11">
        <v>46156</v>
      </c>
      <c r="G7" s="11">
        <v>46157</v>
      </c>
      <c r="H7" s="11">
        <v>46158</v>
      </c>
    </row>
    <row r="8" spans="2:8" ht="58" customHeight="1">
      <c r="B8" s="11"/>
      <c r="C8" s="11"/>
      <c r="D8" s="11"/>
      <c r="E8" s="11"/>
      <c r="F8" s="11"/>
      <c r="G8" s="11"/>
      <c r="H8" s="11"/>
    </row>
    <row r="9" spans="2:8" ht="19.5" customHeight="1">
      <c r="B9" s="9">
        <f t="array" ref="B9:H9">DaysAndWeeks+DATE(CalendarYear,5,1)-WEEKDAY(DATE(CalendarYear,5,1),(WeekStart="Monday")+1)+22</f>
        <v>46159</v>
      </c>
      <c r="C9" s="9">
        <v>46160</v>
      </c>
      <c r="D9" s="9">
        <v>46161</v>
      </c>
      <c r="E9" s="9">
        <v>46162</v>
      </c>
      <c r="F9" s="9">
        <v>46163</v>
      </c>
      <c r="G9" s="9">
        <v>46164</v>
      </c>
      <c r="H9" s="9">
        <v>46165</v>
      </c>
    </row>
    <row r="10" spans="2:8" ht="58" customHeight="1">
      <c r="B10" s="9"/>
      <c r="C10" s="9"/>
      <c r="D10" s="9"/>
      <c r="E10" s="9"/>
      <c r="F10" s="9"/>
      <c r="G10" s="9"/>
      <c r="H10" s="9"/>
    </row>
    <row r="11" spans="2:8" ht="19.5" customHeight="1">
      <c r="B11" s="11">
        <f t="array" ref="B11:H11">DaysAndWeeks+DATE(CalendarYear,5,1)-WEEKDAY(DATE(CalendarYear,5,1),(WeekStart="Monday")+1)+29</f>
        <v>46166</v>
      </c>
      <c r="C11" s="11">
        <v>46167</v>
      </c>
      <c r="D11" s="11">
        <v>46168</v>
      </c>
      <c r="E11" s="11">
        <v>46169</v>
      </c>
      <c r="F11" s="11">
        <v>46170</v>
      </c>
      <c r="G11" s="11">
        <v>46171</v>
      </c>
      <c r="H11" s="11">
        <v>46172</v>
      </c>
    </row>
    <row r="12" spans="2:8" ht="58" customHeight="1">
      <c r="B12" s="11"/>
      <c r="C12" s="11"/>
      <c r="D12" s="11"/>
      <c r="E12" s="11"/>
      <c r="F12" s="11"/>
      <c r="G12" s="11"/>
      <c r="H12" s="11"/>
    </row>
    <row r="13" spans="2:8" ht="19.5" customHeight="1">
      <c r="B13" s="9">
        <f t="array" ref="B13:C13">DaysAndWeeks+DATE(CalendarYear,5,1)-WEEKDAY(DATE(CalendarYear,5,1),(WeekStart="Monday")+1)+36</f>
        <v>46173</v>
      </c>
      <c r="C13" s="9">
        <v>46174</v>
      </c>
      <c r="D13" s="7" t="s">
        <v>4</v>
      </c>
      <c r="E13" s="92"/>
      <c r="F13" s="92"/>
      <c r="G13" s="92"/>
      <c r="H13" s="93"/>
    </row>
    <row r="14" spans="2:8" ht="58" customHeight="1">
      <c r="B14" s="9"/>
      <c r="C14" s="9"/>
      <c r="D14" s="8"/>
      <c r="E14" s="94"/>
      <c r="F14" s="94"/>
      <c r="G14" s="94"/>
      <c r="H14" s="95"/>
    </row>
  </sheetData>
  <mergeCells count="1">
    <mergeCell ref="E13:H14"/>
  </mergeCells>
  <conditionalFormatting sqref="B13:D13">
    <cfRule type="expression" dxfId="38" priority="1">
      <formula>AND(DAY(B13)&gt;=1,DAY(B13)&lt;=15)</formula>
    </cfRule>
  </conditionalFormatting>
  <conditionalFormatting sqref="B3:G3">
    <cfRule type="expression" dxfId="37" priority="3">
      <formula>DAY(B3)&gt;8</formula>
    </cfRule>
  </conditionalFormatting>
  <conditionalFormatting sqref="B11:H11">
    <cfRule type="expression" dxfId="36" priority="4">
      <formula>AND(DAY(B11)&gt;=1,DAY(B11)&lt;=15)</formula>
    </cfRule>
  </conditionalFormatting>
  <dataValidations count="9">
    <dataValidation allowBlank="1" showInputMessage="1" showErrorMessage="1" prompt="Automatically determined weekday" sqref="C2:H2" xr:uid="{00000000-0002-0000-0400-000000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400-000001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400-000002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400-000003000000}"/>
    <dataValidation allowBlank="1" showInputMessage="1" showErrorMessage="1" prompt="May month calendar" sqref="A1" xr:uid="{00000000-0002-0000-0400-000005000000}"/>
    <dataValidation allowBlank="1" showInputMessage="1" showErrorMessage="1" prompt="Enter Notes in the cell at right" sqref="D13:D14" xr:uid="{00000000-0002-0000-0400-000006000000}"/>
    <dataValidation allowBlank="1" showInputMessage="1" showErrorMessage="1" prompt="Enter Notes in this cell" sqref="E13:H14" xr:uid="{00000000-0002-0000-0400-000007000000}"/>
    <dataValidation allowBlank="1" showInputMessage="1" showErrorMessage="1" prompt="This row &amp; rows 6, 8, 10, 12, &amp; 14 are cells for entering daily notes related to the calendar day in the cell above" sqref="B4" xr:uid="{00000000-0002-0000-0400-000008000000}"/>
    <dataValidation allowBlank="1" showInputMessage="1" showErrorMessage="1" prompt="The year in this cell is automatically updated. Select another year in cell K3 of the January worksheet to change the year" sqref="C1" xr:uid="{ABE90B0D-7A98-427F-982B-03C8A65C5CD7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7" tint="0.59999389629810485"/>
    <pageSetUpPr fitToPage="1"/>
  </sheetPr>
  <dimension ref="B1:H14"/>
  <sheetViews>
    <sheetView showGridLines="0" zoomScaleNormal="100" workbookViewId="0"/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2:8" ht="59.25" customHeight="1">
      <c r="B1" s="21" t="str">
        <f>"June "&amp;CalendarYear</f>
        <v>June 2026</v>
      </c>
      <c r="C1" s="22"/>
      <c r="D1" s="22"/>
      <c r="E1" s="23"/>
      <c r="F1" s="23"/>
      <c r="G1" s="23"/>
      <c r="H1" s="24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DaysAndWeeks+DATE(CalendarYear,6,1)-WEEKDAY(DATE(CalendarYear,6,1),(WeekStart="Monday")+1)+1</f>
        <v>46173</v>
      </c>
      <c r="C3" s="11">
        <v>46174</v>
      </c>
      <c r="D3" s="11">
        <v>46175</v>
      </c>
      <c r="E3" s="11">
        <v>46176</v>
      </c>
      <c r="F3" s="11">
        <v>46177</v>
      </c>
      <c r="G3" s="11">
        <v>46178</v>
      </c>
      <c r="H3" s="11">
        <v>46179</v>
      </c>
    </row>
    <row r="4" spans="2:8" ht="58" customHeight="1">
      <c r="B4" s="11"/>
      <c r="C4" s="11"/>
      <c r="D4" s="11"/>
      <c r="E4" s="11"/>
      <c r="F4" s="11"/>
      <c r="G4" s="11"/>
      <c r="H4" s="11"/>
    </row>
    <row r="5" spans="2:8" ht="19.5" customHeight="1">
      <c r="B5" s="9">
        <f t="array" ref="B5:H5">DaysAndWeeks+DATE(CalendarYear,6,1)-WEEKDAY(DATE(CalendarYear,6,1),(WeekStart="Monday")+1)+8</f>
        <v>46180</v>
      </c>
      <c r="C5" s="9">
        <v>46181</v>
      </c>
      <c r="D5" s="9">
        <v>46182</v>
      </c>
      <c r="E5" s="9">
        <v>46183</v>
      </c>
      <c r="F5" s="9">
        <v>46184</v>
      </c>
      <c r="G5" s="9">
        <v>46185</v>
      </c>
      <c r="H5" s="9">
        <v>46186</v>
      </c>
    </row>
    <row r="6" spans="2:8" ht="58" customHeight="1">
      <c r="B6" s="9"/>
      <c r="C6" s="9"/>
      <c r="D6" s="9"/>
      <c r="E6" s="9"/>
      <c r="F6" s="9"/>
      <c r="G6" s="9"/>
      <c r="H6" s="9"/>
    </row>
    <row r="7" spans="2:8" ht="19.5" customHeight="1">
      <c r="B7" s="11">
        <f t="array" ref="B7:H7">DaysAndWeeks+DATE(CalendarYear,6,1)-WEEKDAY(DATE(CalendarYear,6,1),(WeekStart="Monday")+1)+15</f>
        <v>46187</v>
      </c>
      <c r="C7" s="11">
        <v>46188</v>
      </c>
      <c r="D7" s="11">
        <v>46189</v>
      </c>
      <c r="E7" s="11">
        <v>46190</v>
      </c>
      <c r="F7" s="11">
        <v>46191</v>
      </c>
      <c r="G7" s="11">
        <v>46192</v>
      </c>
      <c r="H7" s="11">
        <v>46193</v>
      </c>
    </row>
    <row r="8" spans="2:8" ht="58" customHeight="1">
      <c r="B8" s="11"/>
      <c r="C8" s="11"/>
      <c r="D8" s="11"/>
      <c r="E8" s="11"/>
      <c r="F8" s="11"/>
      <c r="G8" s="11"/>
      <c r="H8" s="11"/>
    </row>
    <row r="9" spans="2:8" ht="19.5" customHeight="1">
      <c r="B9" s="9">
        <f t="array" ref="B9:H9">DaysAndWeeks+DATE(CalendarYear,6,1)-WEEKDAY(DATE(CalendarYear,6,1),(WeekStart="Monday")+1)+22</f>
        <v>46194</v>
      </c>
      <c r="C9" s="9">
        <v>46195</v>
      </c>
      <c r="D9" s="9">
        <v>46196</v>
      </c>
      <c r="E9" s="9">
        <v>46197</v>
      </c>
      <c r="F9" s="9">
        <v>46198</v>
      </c>
      <c r="G9" s="9">
        <v>46199</v>
      </c>
      <c r="H9" s="9">
        <v>46200</v>
      </c>
    </row>
    <row r="10" spans="2:8" ht="58" customHeight="1">
      <c r="B10" s="9"/>
      <c r="C10" s="9"/>
      <c r="D10" s="9"/>
      <c r="E10" s="9"/>
      <c r="F10" s="9"/>
      <c r="G10" s="9"/>
      <c r="H10" s="9"/>
    </row>
    <row r="11" spans="2:8" ht="19.5" customHeight="1">
      <c r="B11" s="11">
        <f t="array" ref="B11:H11">DaysAndWeeks+DATE(CalendarYear,6,1)-WEEKDAY(DATE(CalendarYear,6,1),(WeekStart="Monday")+1)+29</f>
        <v>46201</v>
      </c>
      <c r="C11" s="11">
        <v>46202</v>
      </c>
      <c r="D11" s="11">
        <v>46203</v>
      </c>
      <c r="E11" s="11">
        <v>46204</v>
      </c>
      <c r="F11" s="11">
        <v>46205</v>
      </c>
      <c r="G11" s="11">
        <v>46206</v>
      </c>
      <c r="H11" s="11">
        <v>46207</v>
      </c>
    </row>
    <row r="12" spans="2:8" ht="58" customHeight="1">
      <c r="B12" s="11"/>
      <c r="C12" s="11"/>
      <c r="D12" s="11"/>
      <c r="E12" s="11"/>
      <c r="F12" s="11"/>
      <c r="G12" s="11"/>
      <c r="H12" s="11"/>
    </row>
    <row r="13" spans="2:8" ht="19.5" customHeight="1">
      <c r="B13" s="9">
        <f t="array" ref="B13:C13">DaysAndWeeks+DATE(CalendarYear,6,1)-WEEKDAY(DATE(CalendarYear,6,1),(WeekStart="Monday")+1)+36</f>
        <v>46208</v>
      </c>
      <c r="C13" s="9">
        <v>46209</v>
      </c>
      <c r="D13" s="7" t="s">
        <v>4</v>
      </c>
      <c r="E13" s="92"/>
      <c r="F13" s="92"/>
      <c r="G13" s="92"/>
      <c r="H13" s="93"/>
    </row>
    <row r="14" spans="2:8" ht="58" customHeight="1">
      <c r="B14" s="9"/>
      <c r="C14" s="9"/>
      <c r="D14" s="8"/>
      <c r="E14" s="94"/>
      <c r="F14" s="94"/>
      <c r="G14" s="94"/>
      <c r="H14" s="95"/>
    </row>
  </sheetData>
  <mergeCells count="1">
    <mergeCell ref="E13:H14"/>
  </mergeCells>
  <conditionalFormatting sqref="B13:D13">
    <cfRule type="expression" dxfId="35" priority="1">
      <formula>AND(DAY(B13)&gt;=1,DAY(B13)&lt;=15)</formula>
    </cfRule>
  </conditionalFormatting>
  <conditionalFormatting sqref="B3:G3">
    <cfRule type="expression" dxfId="34" priority="3">
      <formula>DAY(B3)&gt;8</formula>
    </cfRule>
  </conditionalFormatting>
  <conditionalFormatting sqref="B11:H11">
    <cfRule type="expression" dxfId="33" priority="4">
      <formula>AND(DAY(B11)&gt;=1,DAY(B11)&lt;=15)</formula>
    </cfRule>
  </conditionalFormatting>
  <dataValidations count="9">
    <dataValidation allowBlank="1" showInputMessage="1" showErrorMessage="1" prompt="Automatically determined weekday" sqref="C2:H2" xr:uid="{00000000-0002-0000-0500-000000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500-000001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500-000002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500-000003000000}"/>
    <dataValidation allowBlank="1" showInputMessage="1" showErrorMessage="1" prompt="June month calendar" sqref="A1" xr:uid="{00000000-0002-0000-0500-000005000000}"/>
    <dataValidation allowBlank="1" showInputMessage="1" showErrorMessage="1" prompt="Enter Notes in the cell at right" sqref="D13:D14" xr:uid="{00000000-0002-0000-0500-000006000000}"/>
    <dataValidation allowBlank="1" showInputMessage="1" showErrorMessage="1" prompt="Enter Notes in this cell" sqref="E13:H14" xr:uid="{00000000-0002-0000-0500-000007000000}"/>
    <dataValidation allowBlank="1" showInputMessage="1" showErrorMessage="1" prompt="This row &amp; rows 6, 8, 10, 12, &amp; 14 are cells for entering daily notes related to the calendar day in the cell above" sqref="B4" xr:uid="{00000000-0002-0000-0500-000008000000}"/>
    <dataValidation allowBlank="1" showInputMessage="1" showErrorMessage="1" prompt="The year in this cell is automatically updated. Select another year in cell K3 of the January worksheet to change the year" sqref="C1" xr:uid="{3B5EBA9E-6F2A-4A06-88F5-C22A25660616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7"/>
    <pageSetUpPr fitToPage="1"/>
  </sheetPr>
  <dimension ref="B1:H14"/>
  <sheetViews>
    <sheetView showGridLines="0" zoomScaleNormal="100" workbookViewId="0"/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2:8" ht="59.25" customHeight="1">
      <c r="B1" s="39" t="str">
        <f>"July "&amp;CalendarYear</f>
        <v>July 2026</v>
      </c>
      <c r="C1" s="40"/>
      <c r="D1" s="40"/>
      <c r="E1" s="41"/>
      <c r="F1" s="41"/>
      <c r="G1" s="41"/>
      <c r="H1" s="42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DaysAndWeeks+DATE(CalendarYear,7,1)-WEEKDAY(DATE(CalendarYear,7,1),(WeekStart="Monday")+1)+1</f>
        <v>46201</v>
      </c>
      <c r="C3" s="11">
        <v>46202</v>
      </c>
      <c r="D3" s="11">
        <v>46203</v>
      </c>
      <c r="E3" s="11">
        <v>46204</v>
      </c>
      <c r="F3" s="11">
        <v>46205</v>
      </c>
      <c r="G3" s="11">
        <v>46206</v>
      </c>
      <c r="H3" s="11">
        <v>46207</v>
      </c>
    </row>
    <row r="4" spans="2:8" ht="58" customHeight="1">
      <c r="B4" s="11"/>
      <c r="C4" s="11"/>
      <c r="D4" s="11"/>
      <c r="E4" s="11"/>
      <c r="F4" s="11"/>
      <c r="G4" s="11"/>
      <c r="H4" s="11"/>
    </row>
    <row r="5" spans="2:8" ht="19.5" customHeight="1">
      <c r="B5" s="9">
        <f t="array" ref="B5:H5">DaysAndWeeks+DATE(CalendarYear,7,1)-WEEKDAY(DATE(CalendarYear,7,1),(WeekStart="Monday")+1)+8</f>
        <v>46208</v>
      </c>
      <c r="C5" s="9">
        <v>46209</v>
      </c>
      <c r="D5" s="9">
        <v>46210</v>
      </c>
      <c r="E5" s="9">
        <v>46211</v>
      </c>
      <c r="F5" s="9">
        <v>46212</v>
      </c>
      <c r="G5" s="9">
        <v>46213</v>
      </c>
      <c r="H5" s="9">
        <v>46214</v>
      </c>
    </row>
    <row r="6" spans="2:8" ht="58" customHeight="1">
      <c r="B6" s="9"/>
      <c r="C6" s="9"/>
      <c r="D6" s="9"/>
      <c r="E6" s="9"/>
      <c r="F6" s="9"/>
      <c r="G6" s="9"/>
      <c r="H6" s="9"/>
    </row>
    <row r="7" spans="2:8" ht="19.5" customHeight="1">
      <c r="B7" s="11">
        <f t="array" ref="B7:H7">DaysAndWeeks+DATE(CalendarYear,7,1)-WEEKDAY(DATE(CalendarYear,7,1),(WeekStart="Monday")+1)+15</f>
        <v>46215</v>
      </c>
      <c r="C7" s="11">
        <v>46216</v>
      </c>
      <c r="D7" s="11">
        <v>46217</v>
      </c>
      <c r="E7" s="11">
        <v>46218</v>
      </c>
      <c r="F7" s="11">
        <v>46219</v>
      </c>
      <c r="G7" s="11">
        <v>46220</v>
      </c>
      <c r="H7" s="11">
        <v>46221</v>
      </c>
    </row>
    <row r="8" spans="2:8" ht="58" customHeight="1">
      <c r="B8" s="11"/>
      <c r="C8" s="11"/>
      <c r="D8" s="11"/>
      <c r="E8" s="11"/>
      <c r="F8" s="11"/>
      <c r="G8" s="11"/>
      <c r="H8" s="11"/>
    </row>
    <row r="9" spans="2:8" ht="19.5" customHeight="1">
      <c r="B9" s="9">
        <f t="array" ref="B9:H9">DaysAndWeeks+DATE(CalendarYear,7,1)-WEEKDAY(DATE(CalendarYear,7,1),(WeekStart="Monday")+1)+22</f>
        <v>46222</v>
      </c>
      <c r="C9" s="9">
        <v>46223</v>
      </c>
      <c r="D9" s="9">
        <v>46224</v>
      </c>
      <c r="E9" s="9">
        <v>46225</v>
      </c>
      <c r="F9" s="9">
        <v>46226</v>
      </c>
      <c r="G9" s="9">
        <v>46227</v>
      </c>
      <c r="H9" s="9">
        <v>46228</v>
      </c>
    </row>
    <row r="10" spans="2:8" ht="58" customHeight="1">
      <c r="B10" s="9"/>
      <c r="C10" s="9"/>
      <c r="D10" s="9"/>
      <c r="E10" s="9"/>
      <c r="F10" s="9"/>
      <c r="G10" s="9"/>
      <c r="H10" s="9"/>
    </row>
    <row r="11" spans="2:8" ht="19.5" customHeight="1">
      <c r="B11" s="11">
        <f t="array" ref="B11:H11">DaysAndWeeks+DATE(CalendarYear,7,1)-WEEKDAY(DATE(CalendarYear,7,1),(WeekStart="Monday")+1)+29</f>
        <v>46229</v>
      </c>
      <c r="C11" s="11">
        <v>46230</v>
      </c>
      <c r="D11" s="11">
        <v>46231</v>
      </c>
      <c r="E11" s="11">
        <v>46232</v>
      </c>
      <c r="F11" s="11">
        <v>46233</v>
      </c>
      <c r="G11" s="11">
        <v>46234</v>
      </c>
      <c r="H11" s="11">
        <v>46235</v>
      </c>
    </row>
    <row r="12" spans="2:8" ht="58" customHeight="1">
      <c r="B12" s="11"/>
      <c r="C12" s="11"/>
      <c r="D12" s="11"/>
      <c r="E12" s="11"/>
      <c r="F12" s="11"/>
      <c r="G12" s="11"/>
      <c r="H12" s="11"/>
    </row>
    <row r="13" spans="2:8" ht="19.5" customHeight="1">
      <c r="B13" s="9">
        <f t="array" ref="B13:C13">DaysAndWeeks+DATE(CalendarYear,7,1)-WEEKDAY(DATE(CalendarYear,7,1),(WeekStart="Monday")+1)+36</f>
        <v>46236</v>
      </c>
      <c r="C13" s="9">
        <v>46237</v>
      </c>
      <c r="D13" s="7" t="s">
        <v>4</v>
      </c>
      <c r="E13" s="92"/>
      <c r="F13" s="92"/>
      <c r="G13" s="92"/>
      <c r="H13" s="93"/>
    </row>
    <row r="14" spans="2:8" ht="58" customHeight="1">
      <c r="B14" s="9"/>
      <c r="C14" s="9"/>
      <c r="D14" s="8"/>
      <c r="E14" s="94"/>
      <c r="F14" s="94"/>
      <c r="G14" s="94"/>
      <c r="H14" s="95"/>
    </row>
  </sheetData>
  <dataConsolidate/>
  <mergeCells count="1">
    <mergeCell ref="E13:H14"/>
  </mergeCells>
  <conditionalFormatting sqref="B13:D13">
    <cfRule type="expression" dxfId="32" priority="1">
      <formula>AND(DAY(B13)&gt;=1,DAY(B13)&lt;=15)</formula>
    </cfRule>
  </conditionalFormatting>
  <conditionalFormatting sqref="B3:G3">
    <cfRule type="expression" dxfId="31" priority="3">
      <formula>DAY(B3)&gt;8</formula>
    </cfRule>
  </conditionalFormatting>
  <conditionalFormatting sqref="B11:H11">
    <cfRule type="expression" dxfId="30" priority="4">
      <formula>AND(DAY(B11)&gt;=1,DAY(B11)&lt;=15)</formula>
    </cfRule>
  </conditionalFormatting>
  <dataValidations count="9">
    <dataValidation allowBlank="1" showInputMessage="1" showErrorMessage="1" prompt="Automatically determined weekday" sqref="C2:H2" xr:uid="{00000000-0002-0000-0600-000000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600-000001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600-000002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600-000003000000}"/>
    <dataValidation allowBlank="1" showInputMessage="1" showErrorMessage="1" prompt="The year in this cell is automatically updated. Select another year in cell K3 of the January worksheet to change the year" sqref="C1" xr:uid="{00000000-0002-0000-0600-000004000000}"/>
    <dataValidation allowBlank="1" showInputMessage="1" showErrorMessage="1" prompt="July month calendar" sqref="A1" xr:uid="{00000000-0002-0000-0600-000005000000}"/>
    <dataValidation allowBlank="1" showInputMessage="1" showErrorMessage="1" prompt="Enter Notes in the cell at right" sqref="D13:D14" xr:uid="{00000000-0002-0000-0600-000006000000}"/>
    <dataValidation allowBlank="1" showInputMessage="1" showErrorMessage="1" prompt="Enter Notes in this cell" sqref="E13:H14" xr:uid="{00000000-0002-0000-0600-000007000000}"/>
    <dataValidation allowBlank="1" showInputMessage="1" showErrorMessage="1" prompt="This row &amp; rows 6, 8, 10, 12, &amp; 14 are cells for entering daily notes related to the calendar day in the cell above" sqref="B4" xr:uid="{00000000-0002-0000-0600-000008000000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8"/>
    <pageSetUpPr fitToPage="1"/>
  </sheetPr>
  <dimension ref="B1:H14"/>
  <sheetViews>
    <sheetView showGridLines="0" tabSelected="1" topLeftCell="B1" zoomScale="87" zoomScaleNormal="70" workbookViewId="0">
      <selection activeCell="K6" sqref="K6"/>
    </sheetView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2:8" ht="59.25" customHeight="1">
      <c r="B1" s="43" t="str">
        <f>"August "&amp;CalendarYear</f>
        <v>August 2026</v>
      </c>
      <c r="C1" s="44"/>
      <c r="D1" s="44"/>
      <c r="E1" s="45"/>
      <c r="F1" s="45"/>
      <c r="G1" s="45"/>
      <c r="H1" s="46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DaysAndWeeks+DATE(CalendarYear,8,1)-WEEKDAY(DATE(CalendarYear,8,1),(WeekStart="Monday")+1)+1</f>
        <v>46229</v>
      </c>
      <c r="C3" s="11">
        <v>46230</v>
      </c>
      <c r="D3" s="11">
        <v>46231</v>
      </c>
      <c r="E3" s="11">
        <v>46232</v>
      </c>
      <c r="F3" s="11">
        <v>46233</v>
      </c>
      <c r="G3" s="11">
        <v>46234</v>
      </c>
      <c r="H3" s="11">
        <v>46235</v>
      </c>
    </row>
    <row r="4" spans="2:8" ht="58" customHeight="1">
      <c r="B4" s="11"/>
      <c r="C4" s="11"/>
      <c r="D4" s="103" t="s">
        <v>5</v>
      </c>
      <c r="E4" s="103"/>
      <c r="F4" s="103"/>
      <c r="G4" s="103"/>
      <c r="H4" s="11"/>
    </row>
    <row r="5" spans="2:8" ht="19.5" customHeight="1">
      <c r="B5" s="9">
        <f t="array" ref="B5:H5">DaysAndWeeks+DATE(CalendarYear,8,1)-WEEKDAY(DATE(CalendarYear,8,1),(WeekStart="Monday")+1)+8</f>
        <v>46236</v>
      </c>
      <c r="C5" s="9">
        <v>46237</v>
      </c>
      <c r="D5" s="9">
        <v>46238</v>
      </c>
      <c r="E5" s="9">
        <v>46239</v>
      </c>
      <c r="F5" s="9">
        <v>46240</v>
      </c>
      <c r="G5" s="9">
        <v>46241</v>
      </c>
      <c r="H5" s="9">
        <v>46242</v>
      </c>
    </row>
    <row r="6" spans="2:8" ht="58" customHeight="1">
      <c r="B6" s="9"/>
      <c r="C6" s="104" t="s">
        <v>5</v>
      </c>
      <c r="D6" s="104"/>
      <c r="E6" s="104"/>
      <c r="F6" s="75" t="s">
        <v>6</v>
      </c>
      <c r="G6" s="63" t="s">
        <v>7</v>
      </c>
      <c r="H6" s="9"/>
    </row>
    <row r="7" spans="2:8" ht="19.5" customHeight="1">
      <c r="B7" s="11">
        <f t="array" ref="B7:H7">DaysAndWeeks+DATE(CalendarYear,8,1)-WEEKDAY(DATE(CalendarYear,8,1),(WeekStart="Monday")+1)+15</f>
        <v>46243</v>
      </c>
      <c r="C7" s="11">
        <v>46244</v>
      </c>
      <c r="D7" s="11">
        <v>46245</v>
      </c>
      <c r="E7" s="11">
        <v>46246</v>
      </c>
      <c r="F7" s="11">
        <v>46247</v>
      </c>
      <c r="G7" s="11">
        <v>46248</v>
      </c>
      <c r="H7" s="11">
        <v>46249</v>
      </c>
    </row>
    <row r="8" spans="2:8" s="74" customFormat="1" ht="58" customHeight="1">
      <c r="C8" s="73" t="s">
        <v>8</v>
      </c>
      <c r="D8" s="73" t="s">
        <v>9</v>
      </c>
      <c r="E8" s="73" t="s">
        <v>10</v>
      </c>
      <c r="F8" s="73" t="s">
        <v>11</v>
      </c>
      <c r="G8" s="77" t="s">
        <v>12</v>
      </c>
      <c r="H8" s="73"/>
    </row>
    <row r="9" spans="2:8" ht="19.5" customHeight="1">
      <c r="B9" s="9">
        <f t="array" ref="B9:H9">DaysAndWeeks+DATE(CalendarYear,8,1)-WEEKDAY(DATE(CalendarYear,8,1),(WeekStart="Monday")+1)+22</f>
        <v>46250</v>
      </c>
      <c r="C9" s="9">
        <v>46251</v>
      </c>
      <c r="D9" s="9">
        <v>46252</v>
      </c>
      <c r="E9" s="9">
        <v>46253</v>
      </c>
      <c r="F9" s="9">
        <v>46254</v>
      </c>
      <c r="G9" s="9">
        <v>46255</v>
      </c>
      <c r="H9" s="9">
        <v>46256</v>
      </c>
    </row>
    <row r="10" spans="2:8" s="65" customFormat="1" ht="58" customHeight="1">
      <c r="B10" s="66"/>
      <c r="C10" s="66" t="s">
        <v>13</v>
      </c>
      <c r="D10" s="66" t="s">
        <v>14</v>
      </c>
      <c r="E10" s="100" t="s">
        <v>15</v>
      </c>
      <c r="F10" s="100"/>
      <c r="G10" s="91" t="s">
        <v>16</v>
      </c>
      <c r="H10" s="66"/>
    </row>
    <row r="11" spans="2:8" ht="19.5" customHeight="1">
      <c r="B11" s="11">
        <f t="array" ref="B11:H11">DaysAndWeeks+DATE(CalendarYear,8,1)-WEEKDAY(DATE(CalendarYear,8,1),(WeekStart="Monday")+1)+29</f>
        <v>46257</v>
      </c>
      <c r="C11" s="11">
        <v>46258</v>
      </c>
      <c r="D11" s="11">
        <v>46259</v>
      </c>
      <c r="E11" s="11">
        <v>46260</v>
      </c>
      <c r="F11" s="11">
        <v>46261</v>
      </c>
      <c r="G11" s="11">
        <v>46262</v>
      </c>
      <c r="H11" s="11">
        <v>46263</v>
      </c>
    </row>
    <row r="12" spans="2:8" s="65" customFormat="1" ht="58" customHeight="1">
      <c r="B12" s="64"/>
      <c r="C12" s="78" t="s">
        <v>17</v>
      </c>
      <c r="D12" s="73" t="s">
        <v>18</v>
      </c>
      <c r="E12" s="105" t="s">
        <v>19</v>
      </c>
      <c r="F12" s="105"/>
      <c r="G12" s="73" t="s">
        <v>20</v>
      </c>
      <c r="H12" s="64"/>
    </row>
    <row r="13" spans="2:8" ht="19.5" customHeight="1">
      <c r="B13" s="9">
        <f t="array" ref="B13:C13">DaysAndWeeks+DATE(CalendarYear,8,1)-WEEKDAY(DATE(CalendarYear,8,1),(WeekStart="Monday")+1)+36</f>
        <v>46264</v>
      </c>
      <c r="C13" s="9">
        <v>46265</v>
      </c>
      <c r="D13" s="7" t="s">
        <v>4</v>
      </c>
      <c r="E13" s="92"/>
      <c r="F13" s="92"/>
      <c r="G13" s="92"/>
      <c r="H13" s="93"/>
    </row>
    <row r="14" spans="2:8" ht="58" customHeight="1">
      <c r="B14" s="9"/>
      <c r="C14" s="72" t="s">
        <v>21</v>
      </c>
      <c r="D14" s="8"/>
      <c r="E14" s="94"/>
      <c r="F14" s="94"/>
      <c r="G14" s="94"/>
      <c r="H14" s="95"/>
    </row>
  </sheetData>
  <mergeCells count="5">
    <mergeCell ref="E13:H14"/>
    <mergeCell ref="D4:G4"/>
    <mergeCell ref="C6:E6"/>
    <mergeCell ref="E10:F10"/>
    <mergeCell ref="E12:F12"/>
  </mergeCells>
  <conditionalFormatting sqref="B13:D13">
    <cfRule type="expression" dxfId="29" priority="1">
      <formula>AND(DAY(B13)&gt;=1,DAY(B13)&lt;=15)</formula>
    </cfRule>
  </conditionalFormatting>
  <conditionalFormatting sqref="B3:G3">
    <cfRule type="expression" dxfId="28" priority="3">
      <formula>DAY(B3)&gt;8</formula>
    </cfRule>
  </conditionalFormatting>
  <conditionalFormatting sqref="B11:H11">
    <cfRule type="expression" dxfId="27" priority="4">
      <formula>AND(DAY(B11)&gt;=1,DAY(B11)&lt;=15)</formula>
    </cfRule>
  </conditionalFormatting>
  <dataValidations count="9">
    <dataValidation allowBlank="1" showInputMessage="1" showErrorMessage="1" prompt="Automatically determined weekday" sqref="C2:H2" xr:uid="{00000000-0002-0000-0700-000000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700-000001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700-000002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700-000003000000}"/>
    <dataValidation allowBlank="1" showInputMessage="1" showErrorMessage="1" prompt="August month calendar" sqref="A1" xr:uid="{00000000-0002-0000-0700-000005000000}"/>
    <dataValidation allowBlank="1" showInputMessage="1" showErrorMessage="1" prompt="Enter Notes in the cell at right" sqref="D13:D14" xr:uid="{00000000-0002-0000-0700-000006000000}"/>
    <dataValidation allowBlank="1" showInputMessage="1" showErrorMessage="1" prompt="Enter Notes in this cell" sqref="E13:H14" xr:uid="{00000000-0002-0000-0700-000007000000}"/>
    <dataValidation allowBlank="1" showInputMessage="1" showErrorMessage="1" prompt="This row &amp; rows 6, 8, 10, 12, &amp; 14 are cells for entering daily notes related to the calendar day in the cell above" sqref="B4" xr:uid="{00000000-0002-0000-0700-000008000000}"/>
    <dataValidation allowBlank="1" showInputMessage="1" showErrorMessage="1" prompt="The year in this cell is automatically updated. Select another year in cell K3 of the January worksheet to change the year" sqref="C1" xr:uid="{66CA7BBB-AB5C-45C6-8652-E95B2C7872CF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8" tint="-0.249977111117893"/>
    <pageSetUpPr fitToPage="1"/>
  </sheetPr>
  <dimension ref="B1:H14"/>
  <sheetViews>
    <sheetView showGridLines="0" topLeftCell="E1" zoomScale="97" zoomScaleNormal="60" workbookViewId="0">
      <selection activeCell="H8" sqref="H8"/>
    </sheetView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2:8" ht="59.25" customHeight="1">
      <c r="B1" s="47" t="str">
        <f>"September "&amp;CalendarYear</f>
        <v>September 2026</v>
      </c>
      <c r="C1" s="48"/>
      <c r="D1" s="48"/>
      <c r="E1" s="49"/>
      <c r="F1" s="49"/>
      <c r="G1" s="49"/>
      <c r="H1" s="50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DaysAndWeeks+DATE(CalendarYear,9,1)-WEEKDAY(DATE(CalendarYear,9,1),(WeekStart="Monday")+1)+1</f>
        <v>46264</v>
      </c>
      <c r="C3" s="11">
        <v>46265</v>
      </c>
      <c r="D3" s="11">
        <v>46266</v>
      </c>
      <c r="E3" s="11">
        <v>46267</v>
      </c>
      <c r="F3" s="11">
        <v>46268</v>
      </c>
      <c r="G3" s="11">
        <v>46269</v>
      </c>
      <c r="H3" s="11">
        <v>46270</v>
      </c>
    </row>
    <row r="4" spans="2:8" s="74" customFormat="1" ht="58" customHeight="1">
      <c r="B4" s="73"/>
      <c r="C4" s="73" t="s">
        <v>21</v>
      </c>
      <c r="D4" s="73" t="s">
        <v>22</v>
      </c>
      <c r="E4" s="98" t="s">
        <v>23</v>
      </c>
      <c r="F4" s="98"/>
      <c r="G4" s="80" t="s">
        <v>24</v>
      </c>
      <c r="H4" s="73"/>
    </row>
    <row r="5" spans="2:8" ht="19.5" customHeight="1">
      <c r="B5" s="9">
        <f t="array" ref="B5:H5">DaysAndWeeks+DATE(CalendarYear,9,1)-WEEKDAY(DATE(CalendarYear,9,1),(WeekStart="Monday")+1)+8</f>
        <v>46271</v>
      </c>
      <c r="C5" s="9">
        <v>46272</v>
      </c>
      <c r="D5" s="9">
        <v>46273</v>
      </c>
      <c r="E5" s="9">
        <v>46274</v>
      </c>
      <c r="F5" s="9">
        <v>46275</v>
      </c>
      <c r="G5" s="9">
        <v>46276</v>
      </c>
      <c r="H5" s="9">
        <v>46277</v>
      </c>
    </row>
    <row r="6" spans="2:8" s="74" customFormat="1" ht="58" customHeight="1">
      <c r="B6" s="66"/>
      <c r="C6" s="67" t="s">
        <v>25</v>
      </c>
      <c r="D6" s="66" t="s">
        <v>26</v>
      </c>
      <c r="E6" s="99" t="s">
        <v>27</v>
      </c>
      <c r="F6" s="100"/>
      <c r="G6" s="66" t="s">
        <v>28</v>
      </c>
      <c r="H6" s="66" t="s">
        <v>29</v>
      </c>
    </row>
    <row r="7" spans="2:8" ht="19.5" customHeight="1">
      <c r="B7" s="11">
        <f t="array" ref="B7:H7">DaysAndWeeks+DATE(CalendarYear,9,1)-WEEKDAY(DATE(CalendarYear,9,1),(WeekStart="Monday")+1)+15</f>
        <v>46278</v>
      </c>
      <c r="C7" s="11">
        <v>46279</v>
      </c>
      <c r="D7" s="11">
        <v>46280</v>
      </c>
      <c r="E7" s="11">
        <v>46281</v>
      </c>
      <c r="F7" s="11">
        <v>46282</v>
      </c>
      <c r="G7" s="11">
        <v>46283</v>
      </c>
      <c r="H7" s="11">
        <v>46284</v>
      </c>
    </row>
    <row r="8" spans="2:8" s="74" customFormat="1" ht="58" customHeight="1">
      <c r="B8" s="73"/>
      <c r="C8" s="77" t="s">
        <v>30</v>
      </c>
      <c r="D8" s="73" t="s">
        <v>31</v>
      </c>
      <c r="E8" s="98" t="s">
        <v>32</v>
      </c>
      <c r="F8" s="98"/>
      <c r="G8" s="77" t="s">
        <v>33</v>
      </c>
      <c r="H8" s="73"/>
    </row>
    <row r="9" spans="2:8" ht="19.5" customHeight="1">
      <c r="B9" s="9">
        <f t="array" ref="B9:H9">DaysAndWeeks+DATE(CalendarYear,9,1)-WEEKDAY(DATE(CalendarYear,9,1),(WeekStart="Monday")+1)+22</f>
        <v>46285</v>
      </c>
      <c r="C9" s="9">
        <v>46286</v>
      </c>
      <c r="D9" s="9">
        <v>46287</v>
      </c>
      <c r="E9" s="9">
        <v>46288</v>
      </c>
      <c r="F9" s="9">
        <v>46289</v>
      </c>
      <c r="G9" s="9">
        <v>46290</v>
      </c>
      <c r="H9" s="9">
        <v>46291</v>
      </c>
    </row>
    <row r="10" spans="2:8" s="74" customFormat="1" ht="58" customHeight="1">
      <c r="B10" s="66"/>
      <c r="C10" s="66" t="s">
        <v>34</v>
      </c>
      <c r="D10" s="66" t="s">
        <v>35</v>
      </c>
      <c r="E10" s="101" t="s">
        <v>36</v>
      </c>
      <c r="F10" s="101"/>
      <c r="G10" s="66" t="s">
        <v>37</v>
      </c>
      <c r="H10" s="66"/>
    </row>
    <row r="11" spans="2:8" ht="19.5" customHeight="1">
      <c r="B11" s="11">
        <f t="array" ref="B11:H11">DaysAndWeeks+DATE(CalendarYear,9,1)-WEEKDAY(DATE(CalendarYear,9,1),(WeekStart="Monday")+1)+29</f>
        <v>46292</v>
      </c>
      <c r="C11" s="11">
        <v>46293</v>
      </c>
      <c r="D11" s="11">
        <v>46294</v>
      </c>
      <c r="E11" s="11">
        <v>46295</v>
      </c>
      <c r="F11" s="11">
        <v>46296</v>
      </c>
      <c r="G11" s="11">
        <v>46297</v>
      </c>
      <c r="H11" s="11">
        <v>46298</v>
      </c>
    </row>
    <row r="12" spans="2:8" ht="58" customHeight="1">
      <c r="B12" s="11"/>
      <c r="C12" s="96" t="s">
        <v>38</v>
      </c>
      <c r="D12" s="97"/>
      <c r="E12" s="97"/>
      <c r="F12" s="97"/>
      <c r="G12" s="97"/>
      <c r="H12" s="11"/>
    </row>
    <row r="13" spans="2:8" ht="19.5" customHeight="1">
      <c r="B13" s="9">
        <f t="array" ref="B13:C13">DaysAndWeeks+DATE(CalendarYear,9,1)-WEEKDAY(DATE(CalendarYear,9,1),(WeekStart="Monday")+1)+36</f>
        <v>46299</v>
      </c>
      <c r="C13" s="9">
        <v>46300</v>
      </c>
      <c r="D13" s="7" t="s">
        <v>4</v>
      </c>
      <c r="E13" s="92"/>
      <c r="F13" s="92"/>
      <c r="G13" s="92"/>
      <c r="H13" s="93"/>
    </row>
    <row r="14" spans="2:8" ht="58" customHeight="1">
      <c r="B14" s="9"/>
      <c r="C14" s="9"/>
      <c r="D14" s="8"/>
      <c r="E14" s="94"/>
      <c r="F14" s="94"/>
      <c r="G14" s="94"/>
      <c r="H14" s="95"/>
    </row>
  </sheetData>
  <mergeCells count="6">
    <mergeCell ref="E13:H14"/>
    <mergeCell ref="C12:G12"/>
    <mergeCell ref="E4:F4"/>
    <mergeCell ref="E6:F6"/>
    <mergeCell ref="E8:F8"/>
    <mergeCell ref="E10:F10"/>
  </mergeCells>
  <conditionalFormatting sqref="B13:D13">
    <cfRule type="expression" dxfId="26" priority="1">
      <formula>AND(DAY(B13)&gt;=1,DAY(B13)&lt;=15)</formula>
    </cfRule>
  </conditionalFormatting>
  <conditionalFormatting sqref="B3:G3">
    <cfRule type="expression" dxfId="25" priority="3">
      <formula>DAY(B3)&gt;8</formula>
    </cfRule>
  </conditionalFormatting>
  <conditionalFormatting sqref="B11:H11">
    <cfRule type="expression" dxfId="24" priority="4">
      <formula>AND(DAY(B11)&gt;=1,DAY(B11)&lt;=15)</formula>
    </cfRule>
  </conditionalFormatting>
  <dataValidations count="9">
    <dataValidation allowBlank="1" showInputMessage="1" showErrorMessage="1" prompt="Automatically determined weekday" sqref="C2:H2" xr:uid="{00000000-0002-0000-0800-000000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800-000001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800-000002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800-000003000000}"/>
    <dataValidation allowBlank="1" showInputMessage="1" showErrorMessage="1" prompt="September month calendar" sqref="A1" xr:uid="{00000000-0002-0000-0800-000005000000}"/>
    <dataValidation allowBlank="1" showInputMessage="1" showErrorMessage="1" prompt="Enter Notes in the cell at right" sqref="D13:D14" xr:uid="{00000000-0002-0000-0800-000006000000}"/>
    <dataValidation allowBlank="1" showInputMessage="1" showErrorMessage="1" prompt="Enter Notes in this cell" sqref="E13:H14" xr:uid="{00000000-0002-0000-0800-000007000000}"/>
    <dataValidation allowBlank="1" showInputMessage="1" showErrorMessage="1" prompt="This row &amp; rows 6, 8, 10, 12, &amp; 14 are cells for entering daily notes related to the calendar day in the cell above" sqref="B4" xr:uid="{00000000-0002-0000-0800-000008000000}"/>
    <dataValidation allowBlank="1" showInputMessage="1" showErrorMessage="1" prompt="The year in this cell is automatically updated. Select another year in cell K3 of the January worksheet to change the year" sqref="C1" xr:uid="{4435369A-E4BA-4CCE-AFA8-841FBD5E4294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9" tint="-0.249977111117893"/>
    <pageSetUpPr fitToPage="1"/>
  </sheetPr>
  <dimension ref="B1:H14"/>
  <sheetViews>
    <sheetView showGridLines="0" topLeftCell="A3" zoomScaleNormal="100" workbookViewId="0">
      <selection activeCell="E12" sqref="E12:F12"/>
    </sheetView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</cols>
  <sheetData>
    <row r="1" spans="2:8" ht="59.25" customHeight="1">
      <c r="B1" s="62" t="str">
        <f>"October "&amp;CalendarYear</f>
        <v>October 2026</v>
      </c>
      <c r="C1" s="54"/>
      <c r="D1" s="54"/>
      <c r="E1" s="55"/>
      <c r="F1" s="55"/>
      <c r="G1" s="55"/>
      <c r="H1" s="56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DaysAndWeeks+DATE(CalendarYear,10,1)-WEEKDAY(DATE(CalendarYear,10,1),(WeekStart="Monday")+1)+1</f>
        <v>46292</v>
      </c>
      <c r="C3" s="11">
        <v>46293</v>
      </c>
      <c r="D3" s="11">
        <v>46294</v>
      </c>
      <c r="E3" s="11">
        <v>46295</v>
      </c>
      <c r="F3" s="11">
        <v>46296</v>
      </c>
      <c r="G3" s="11">
        <v>46297</v>
      </c>
      <c r="H3" s="11">
        <v>46298</v>
      </c>
    </row>
    <row r="4" spans="2:8" ht="58" customHeight="1">
      <c r="B4" s="11"/>
      <c r="C4" s="96" t="s">
        <v>38</v>
      </c>
      <c r="D4" s="97"/>
      <c r="E4" s="97"/>
      <c r="F4" s="97"/>
      <c r="G4" s="97"/>
      <c r="H4" s="11"/>
    </row>
    <row r="5" spans="2:8" ht="19.5" customHeight="1">
      <c r="B5" s="9">
        <f t="array" ref="B5:H5">DaysAndWeeks+DATE(CalendarYear,10,1)-WEEKDAY(DATE(CalendarYear,10,1),(WeekStart="Monday")+1)+8</f>
        <v>46299</v>
      </c>
      <c r="C5" s="9">
        <v>46300</v>
      </c>
      <c r="D5" s="9">
        <v>46301</v>
      </c>
      <c r="E5" s="9">
        <v>46302</v>
      </c>
      <c r="F5" s="9">
        <v>46303</v>
      </c>
      <c r="G5" s="9">
        <v>46304</v>
      </c>
      <c r="H5" s="9">
        <v>46305</v>
      </c>
    </row>
    <row r="6" spans="2:8" s="65" customFormat="1" ht="58" customHeight="1">
      <c r="B6" s="66"/>
      <c r="C6" s="66" t="s">
        <v>39</v>
      </c>
      <c r="D6" s="66" t="s">
        <v>40</v>
      </c>
      <c r="E6" s="100" t="s">
        <v>41</v>
      </c>
      <c r="F6" s="100"/>
      <c r="G6" s="66" t="s">
        <v>42</v>
      </c>
      <c r="H6" s="66"/>
    </row>
    <row r="7" spans="2:8" ht="19.5" customHeight="1">
      <c r="B7" s="11">
        <f t="array" ref="B7:H7">DaysAndWeeks+DATE(CalendarYear,10,1)-WEEKDAY(DATE(CalendarYear,10,1),(WeekStart="Monday")+1)+15</f>
        <v>46306</v>
      </c>
      <c r="C7" s="11">
        <v>46307</v>
      </c>
      <c r="D7" s="11">
        <v>46308</v>
      </c>
      <c r="E7" s="11">
        <v>46309</v>
      </c>
      <c r="F7" s="11">
        <v>46310</v>
      </c>
      <c r="G7" s="11">
        <v>46311</v>
      </c>
      <c r="H7" s="11">
        <v>46312</v>
      </c>
    </row>
    <row r="8" spans="2:8" s="74" customFormat="1" ht="58" customHeight="1">
      <c r="B8" s="73"/>
      <c r="C8" s="73" t="s">
        <v>35</v>
      </c>
      <c r="D8" s="77" t="s">
        <v>43</v>
      </c>
      <c r="E8" s="98" t="s">
        <v>44</v>
      </c>
      <c r="F8" s="98"/>
      <c r="G8" s="81" t="s">
        <v>45</v>
      </c>
      <c r="H8" s="73"/>
    </row>
    <row r="9" spans="2:8" ht="19.5" customHeight="1">
      <c r="B9" s="9">
        <f t="array" ref="B9:H9">DaysAndWeeks+DATE(CalendarYear,10,1)-WEEKDAY(DATE(CalendarYear,10,1),(WeekStart="Monday")+1)+22</f>
        <v>46313</v>
      </c>
      <c r="C9" s="9">
        <v>46314</v>
      </c>
      <c r="D9" s="9">
        <v>46315</v>
      </c>
      <c r="E9" s="9">
        <v>46316</v>
      </c>
      <c r="F9" s="9">
        <v>46317</v>
      </c>
      <c r="G9" s="9">
        <v>46318</v>
      </c>
      <c r="H9" s="9">
        <v>46319</v>
      </c>
    </row>
    <row r="10" spans="2:8" s="74" customFormat="1" ht="58" customHeight="1">
      <c r="B10" s="66"/>
      <c r="C10" s="68" t="s">
        <v>46</v>
      </c>
      <c r="D10" s="66" t="s">
        <v>47</v>
      </c>
      <c r="E10" s="100" t="s">
        <v>48</v>
      </c>
      <c r="F10" s="100"/>
      <c r="G10" s="79" t="s">
        <v>49</v>
      </c>
      <c r="H10" s="66"/>
    </row>
    <row r="11" spans="2:8" ht="19.5" customHeight="1">
      <c r="B11" s="11">
        <f t="array" ref="B11:H11">DaysAndWeeks+DATE(CalendarYear,10,1)-WEEKDAY(DATE(CalendarYear,10,1),(WeekStart="Monday")+1)+29</f>
        <v>46320</v>
      </c>
      <c r="C11" s="11">
        <v>46321</v>
      </c>
      <c r="D11" s="11">
        <v>46322</v>
      </c>
      <c r="E11" s="11">
        <v>46323</v>
      </c>
      <c r="F11" s="11">
        <v>46324</v>
      </c>
      <c r="G11" s="11">
        <v>46325</v>
      </c>
      <c r="H11" s="11">
        <v>46326</v>
      </c>
    </row>
    <row r="12" spans="2:8" s="74" customFormat="1" ht="58" customHeight="1">
      <c r="B12" s="73"/>
      <c r="C12" s="73" t="s">
        <v>35</v>
      </c>
      <c r="D12" s="76" t="s">
        <v>50</v>
      </c>
      <c r="E12" s="105" t="s">
        <v>51</v>
      </c>
      <c r="F12" s="105"/>
      <c r="G12" s="73" t="s">
        <v>52</v>
      </c>
      <c r="H12" s="73"/>
    </row>
    <row r="13" spans="2:8" ht="19.5" customHeight="1">
      <c r="B13" s="9">
        <f t="array" ref="B13:C13">DaysAndWeeks+DATE(CalendarYear,10,1)-WEEKDAY(DATE(CalendarYear,10,1),(WeekStart="Monday")+1)+36</f>
        <v>46327</v>
      </c>
      <c r="C13" s="9">
        <v>46328</v>
      </c>
      <c r="D13" s="7" t="s">
        <v>4</v>
      </c>
      <c r="E13" s="92"/>
      <c r="F13" s="92"/>
      <c r="G13" s="92"/>
      <c r="H13" s="93"/>
    </row>
    <row r="14" spans="2:8" ht="58" customHeight="1">
      <c r="B14" s="9"/>
      <c r="C14" s="9" t="s">
        <v>53</v>
      </c>
      <c r="D14" s="8"/>
      <c r="E14" s="94"/>
      <c r="F14" s="94"/>
      <c r="G14" s="94"/>
      <c r="H14" s="95"/>
    </row>
  </sheetData>
  <mergeCells count="6">
    <mergeCell ref="E13:H14"/>
    <mergeCell ref="C4:G4"/>
    <mergeCell ref="E6:F6"/>
    <mergeCell ref="E8:F8"/>
    <mergeCell ref="E10:F10"/>
    <mergeCell ref="E12:F12"/>
  </mergeCells>
  <conditionalFormatting sqref="B13:D13">
    <cfRule type="expression" dxfId="23" priority="1">
      <formula>AND(DAY(B13)&gt;=1,DAY(B13)&lt;=15)</formula>
    </cfRule>
  </conditionalFormatting>
  <conditionalFormatting sqref="B3:G3">
    <cfRule type="expression" dxfId="22" priority="3">
      <formula>DAY(B3)&gt;8</formula>
    </cfRule>
  </conditionalFormatting>
  <conditionalFormatting sqref="B11:H11">
    <cfRule type="expression" dxfId="21" priority="4">
      <formula>AND(DAY(B11)&gt;=1,DAY(B11)&lt;=15)</formula>
    </cfRule>
  </conditionalFormatting>
  <dataValidations count="9">
    <dataValidation allowBlank="1" showInputMessage="1" showErrorMessage="1" prompt="Automatically determined weekday" sqref="C2:H2" xr:uid="{00000000-0002-0000-0900-000000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900-000001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900-000002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900-000003000000}"/>
    <dataValidation allowBlank="1" showInputMessage="1" showErrorMessage="1" prompt="October month calendar" sqref="A1" xr:uid="{00000000-0002-0000-0900-000005000000}"/>
    <dataValidation allowBlank="1" showInputMessage="1" showErrorMessage="1" prompt="Enter Notes in the cell at right" sqref="D13:D14" xr:uid="{00000000-0002-0000-0900-000006000000}"/>
    <dataValidation allowBlank="1" showInputMessage="1" showErrorMessage="1" prompt="Enter Notes in this cell" sqref="E13:H14" xr:uid="{00000000-0002-0000-0900-000007000000}"/>
    <dataValidation allowBlank="1" showInputMessage="1" showErrorMessage="1" prompt="This row &amp; rows 6, 8, 10, 12, &amp; 14 are cells for entering daily notes related to the calendar day in the cell above" sqref="B4" xr:uid="{00000000-0002-0000-0900-000008000000}"/>
    <dataValidation allowBlank="1" showInputMessage="1" showErrorMessage="1" prompt="The year in this cell is automatically updated. Select another year in cell K3 of the January worksheet to change the year" sqref="C1" xr:uid="{873421E6-8E6D-4E29-8E27-EC2434AD0373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9" tint="-0.499984740745262"/>
    <pageSetUpPr fitToPage="1"/>
  </sheetPr>
  <dimension ref="B1:H14"/>
  <sheetViews>
    <sheetView showGridLines="0" topLeftCell="A2" zoomScaleNormal="100" workbookViewId="0">
      <selection activeCell="J12" sqref="J12"/>
    </sheetView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</cols>
  <sheetData>
    <row r="1" spans="2:8" ht="59.25" customHeight="1">
      <c r="B1" s="57" t="str">
        <f>"November "&amp;CalendarYear</f>
        <v>November 2026</v>
      </c>
      <c r="C1" s="51"/>
      <c r="D1" s="51"/>
      <c r="E1" s="52"/>
      <c r="F1" s="52"/>
      <c r="G1" s="52"/>
      <c r="H1" s="53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DaysAndWeeks+DATE(CalendarYear,11,1)-WEEKDAY(DATE(CalendarYear,11,1),(WeekStart="Monday")+1)+1</f>
        <v>46327</v>
      </c>
      <c r="C3" s="11">
        <v>46328</v>
      </c>
      <c r="D3" s="11">
        <v>46329</v>
      </c>
      <c r="E3" s="11">
        <v>46330</v>
      </c>
      <c r="F3" s="11">
        <v>46331</v>
      </c>
      <c r="G3" s="11">
        <v>46332</v>
      </c>
      <c r="H3" s="11">
        <v>46333</v>
      </c>
    </row>
    <row r="4" spans="2:8" ht="58" customHeight="1">
      <c r="B4" s="11"/>
      <c r="C4" s="82" t="s">
        <v>54</v>
      </c>
      <c r="D4" s="73" t="s">
        <v>55</v>
      </c>
      <c r="E4" s="98" t="s">
        <v>56</v>
      </c>
      <c r="F4" s="98"/>
      <c r="G4" s="73" t="s">
        <v>57</v>
      </c>
      <c r="H4" s="11"/>
    </row>
    <row r="5" spans="2:8" ht="19.5" customHeight="1">
      <c r="B5" s="9">
        <f t="array" ref="B5:H5">DaysAndWeeks+DATE(CalendarYear,11,1)-WEEKDAY(DATE(CalendarYear,11,1),(WeekStart="Monday")+1)+8</f>
        <v>46334</v>
      </c>
      <c r="C5" s="9">
        <v>46335</v>
      </c>
      <c r="D5" s="9">
        <v>46336</v>
      </c>
      <c r="E5" s="9">
        <v>46337</v>
      </c>
      <c r="F5" s="9">
        <v>46338</v>
      </c>
      <c r="G5" s="9">
        <v>46339</v>
      </c>
      <c r="H5" s="9">
        <v>46340</v>
      </c>
    </row>
    <row r="6" spans="2:8" s="74" customFormat="1" ht="58" customHeight="1">
      <c r="B6" s="66"/>
      <c r="C6" s="79" t="s">
        <v>58</v>
      </c>
      <c r="D6" s="66" t="s">
        <v>59</v>
      </c>
      <c r="E6" s="100" t="s">
        <v>60</v>
      </c>
      <c r="F6" s="100"/>
      <c r="G6" s="79" t="s">
        <v>61</v>
      </c>
      <c r="H6" s="66"/>
    </row>
    <row r="7" spans="2:8" ht="19.5" customHeight="1">
      <c r="B7" s="11">
        <f t="array" ref="B7:H7">DaysAndWeeks+DATE(CalendarYear,11,1)-WEEKDAY(DATE(CalendarYear,11,1),(WeekStart="Monday")+1)+15</f>
        <v>46341</v>
      </c>
      <c r="C7" s="11">
        <v>46342</v>
      </c>
      <c r="D7" s="11">
        <v>46343</v>
      </c>
      <c r="E7" s="11">
        <v>46344</v>
      </c>
      <c r="F7" s="11">
        <v>46345</v>
      </c>
      <c r="G7" s="11">
        <v>46346</v>
      </c>
      <c r="H7" s="11">
        <v>46347</v>
      </c>
    </row>
    <row r="8" spans="2:8" s="74" customFormat="1" ht="58" customHeight="1">
      <c r="B8" s="73"/>
      <c r="C8" s="76" t="s">
        <v>62</v>
      </c>
      <c r="D8" s="73" t="s">
        <v>63</v>
      </c>
      <c r="E8" s="98" t="s">
        <v>64</v>
      </c>
      <c r="F8" s="98"/>
      <c r="G8" s="73" t="s">
        <v>65</v>
      </c>
      <c r="H8" s="73"/>
    </row>
    <row r="9" spans="2:8" ht="19.5" customHeight="1">
      <c r="B9" s="9">
        <f t="array" ref="B9:H9">DaysAndWeeks+DATE(CalendarYear,11,1)-WEEKDAY(DATE(CalendarYear,11,1),(WeekStart="Monday")+1)+22</f>
        <v>46348</v>
      </c>
      <c r="C9" s="9">
        <v>46349</v>
      </c>
      <c r="D9" s="9">
        <v>46350</v>
      </c>
      <c r="E9" s="9">
        <v>46351</v>
      </c>
      <c r="F9" s="9">
        <v>46352</v>
      </c>
      <c r="G9" s="9">
        <v>46353</v>
      </c>
      <c r="H9" s="9">
        <v>46354</v>
      </c>
    </row>
    <row r="10" spans="2:8" ht="58" customHeight="1">
      <c r="B10" s="9"/>
      <c r="C10" s="106" t="s">
        <v>66</v>
      </c>
      <c r="D10" s="106"/>
      <c r="E10" s="106"/>
      <c r="F10" s="106"/>
      <c r="G10" s="106"/>
      <c r="H10" s="9"/>
    </row>
    <row r="11" spans="2:8" ht="19.5" customHeight="1">
      <c r="B11" s="11">
        <f t="array" ref="B11:H11">DaysAndWeeks+DATE(CalendarYear,11,1)-WEEKDAY(DATE(CalendarYear,11,1),(WeekStart="Monday")+1)+29</f>
        <v>46355</v>
      </c>
      <c r="C11" s="11">
        <v>46356</v>
      </c>
      <c r="D11" s="11">
        <v>46357</v>
      </c>
      <c r="E11" s="11">
        <v>46358</v>
      </c>
      <c r="F11" s="11">
        <v>46359</v>
      </c>
      <c r="G11" s="11">
        <v>46360</v>
      </c>
      <c r="H11" s="11">
        <v>46361</v>
      </c>
    </row>
    <row r="12" spans="2:8" s="74" customFormat="1" ht="58" customHeight="1">
      <c r="B12" s="73"/>
      <c r="C12" s="73" t="s">
        <v>67</v>
      </c>
      <c r="D12" s="73" t="s">
        <v>68</v>
      </c>
      <c r="E12" s="105" t="s">
        <v>69</v>
      </c>
      <c r="F12" s="105"/>
      <c r="G12" s="77" t="s">
        <v>70</v>
      </c>
      <c r="H12" s="73"/>
    </row>
    <row r="13" spans="2:8" ht="19.5" customHeight="1">
      <c r="B13" s="9">
        <f t="array" ref="B13:C13">DaysAndWeeks+DATE(CalendarYear,11,1)-WEEKDAY(DATE(CalendarYear,11,1),(WeekStart="Monday")+1)+36</f>
        <v>46362</v>
      </c>
      <c r="C13" s="9">
        <v>46363</v>
      </c>
      <c r="D13" s="7" t="s">
        <v>4</v>
      </c>
      <c r="E13" s="92"/>
      <c r="F13" s="92"/>
      <c r="G13" s="92"/>
      <c r="H13" s="93"/>
    </row>
    <row r="14" spans="2:8" ht="58" customHeight="1">
      <c r="B14" s="9"/>
      <c r="C14" s="9"/>
      <c r="D14" s="8"/>
      <c r="E14" s="94"/>
      <c r="F14" s="94"/>
      <c r="G14" s="94"/>
      <c r="H14" s="95"/>
    </row>
  </sheetData>
  <mergeCells count="6">
    <mergeCell ref="E13:H14"/>
    <mergeCell ref="C10:G10"/>
    <mergeCell ref="E4:F4"/>
    <mergeCell ref="E6:F6"/>
    <mergeCell ref="E8:F8"/>
    <mergeCell ref="E12:F12"/>
  </mergeCells>
  <conditionalFormatting sqref="B13:D13">
    <cfRule type="expression" dxfId="20" priority="1">
      <formula>AND(DAY(B13)&gt;=1,DAY(B13)&lt;=15)</formula>
    </cfRule>
  </conditionalFormatting>
  <conditionalFormatting sqref="B3:G3">
    <cfRule type="expression" dxfId="19" priority="4">
      <formula>DAY(B3)&gt;8</formula>
    </cfRule>
  </conditionalFormatting>
  <conditionalFormatting sqref="B11:H11">
    <cfRule type="expression" dxfId="18" priority="5">
      <formula>AND(DAY(B11)&gt;=1,DAY(B11)&lt;=15)</formula>
    </cfRule>
  </conditionalFormatting>
  <dataValidations count="9">
    <dataValidation allowBlank="1" showInputMessage="1" showErrorMessage="1" prompt="Automatically determined weekday" sqref="C2:H2" xr:uid="{00000000-0002-0000-0A00-000000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A00-000001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A00-000002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A00-000003000000}"/>
    <dataValidation allowBlank="1" showInputMessage="1" showErrorMessage="1" prompt="November month calendar" sqref="A1" xr:uid="{00000000-0002-0000-0A00-000005000000}"/>
    <dataValidation allowBlank="1" showInputMessage="1" showErrorMessage="1" prompt="Enter Notes in the cell at right" sqref="D13:D14" xr:uid="{00000000-0002-0000-0A00-000006000000}"/>
    <dataValidation allowBlank="1" showInputMessage="1" showErrorMessage="1" prompt="Enter Notes in this cell" sqref="E13:H14" xr:uid="{00000000-0002-0000-0A00-000007000000}"/>
    <dataValidation allowBlank="1" showInputMessage="1" showErrorMessage="1" prompt="This row &amp; rows 6, 8, 10, 12, &amp; 14 are cells for entering daily notes related to the calendar day in the cell above" sqref="B4" xr:uid="{00000000-0002-0000-0A00-000008000000}"/>
    <dataValidation allowBlank="1" showInputMessage="1" showErrorMessage="1" prompt="The year in this cell is automatically updated. Select another year in cell K3 of the January worksheet to change the year" sqref="C1" xr:uid="{3A4E290F-6134-4539-A45D-9C6B0C71CC5F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6" tint="-0.249977111117893"/>
    <pageSetUpPr fitToPage="1"/>
  </sheetPr>
  <dimension ref="B1:H15"/>
  <sheetViews>
    <sheetView showGridLines="0" zoomScaleNormal="100" workbookViewId="0">
      <selection activeCell="D8" sqref="D8"/>
    </sheetView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</cols>
  <sheetData>
    <row r="1" spans="2:8" ht="59.25" customHeight="1">
      <c r="B1" s="58" t="str">
        <f>"December "&amp;CalendarYear</f>
        <v>December 2026</v>
      </c>
      <c r="C1" s="59"/>
      <c r="D1" s="59"/>
      <c r="E1" s="60"/>
      <c r="F1" s="60"/>
      <c r="G1" s="60"/>
      <c r="H1" s="61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DaysAndWeeks+DATE(CalendarYear,12,1)-WEEKDAY(DATE(CalendarYear,12,1),(WeekStart="Monday")+1)+1</f>
        <v>46355</v>
      </c>
      <c r="C3" s="11">
        <v>46356</v>
      </c>
      <c r="D3" s="11">
        <v>46357</v>
      </c>
      <c r="E3" s="11">
        <v>46358</v>
      </c>
      <c r="F3" s="11">
        <v>46359</v>
      </c>
      <c r="G3" s="11">
        <v>46360</v>
      </c>
      <c r="H3" s="11">
        <v>46361</v>
      </c>
    </row>
    <row r="4" spans="2:8" ht="58" customHeight="1">
      <c r="B4" s="11"/>
      <c r="C4" s="73" t="s">
        <v>67</v>
      </c>
      <c r="D4" s="73" t="s">
        <v>68</v>
      </c>
      <c r="E4" s="105" t="s">
        <v>69</v>
      </c>
      <c r="F4" s="105"/>
      <c r="G4" s="77" t="s">
        <v>70</v>
      </c>
      <c r="H4" s="11"/>
    </row>
    <row r="5" spans="2:8" ht="19.5" customHeight="1">
      <c r="B5" s="9">
        <f t="array" ref="B5:H5">DaysAndWeeks+DATE(CalendarYear,12,1)-WEEKDAY(DATE(CalendarYear,12,1),(WeekStart="Monday")+1)+8</f>
        <v>46362</v>
      </c>
      <c r="C5" s="9">
        <v>46363</v>
      </c>
      <c r="D5" s="9">
        <v>46364</v>
      </c>
      <c r="E5" s="9">
        <v>46365</v>
      </c>
      <c r="F5" s="9">
        <v>46366</v>
      </c>
      <c r="G5" s="9">
        <v>46367</v>
      </c>
      <c r="H5" s="9">
        <v>46368</v>
      </c>
    </row>
    <row r="6" spans="2:8" s="65" customFormat="1" ht="58" customHeight="1">
      <c r="B6" s="66"/>
      <c r="C6" s="66" t="s">
        <v>71</v>
      </c>
      <c r="D6" s="66" t="s">
        <v>72</v>
      </c>
      <c r="E6" s="100" t="s">
        <v>73</v>
      </c>
      <c r="F6" s="100"/>
      <c r="G6" s="79" t="s">
        <v>74</v>
      </c>
      <c r="H6" s="66"/>
    </row>
    <row r="7" spans="2:8" ht="19.5" customHeight="1">
      <c r="B7" s="11">
        <f t="array" ref="B7:H7">DaysAndWeeks+DATE(CalendarYear,12,1)-WEEKDAY(DATE(CalendarYear,12,1),(WeekStart="Monday")+1)+15</f>
        <v>46369</v>
      </c>
      <c r="C7" s="11">
        <v>46370</v>
      </c>
      <c r="D7" s="11">
        <v>46371</v>
      </c>
      <c r="E7" s="11">
        <v>46372</v>
      </c>
      <c r="F7" s="11">
        <v>46373</v>
      </c>
      <c r="G7" s="11">
        <v>46374</v>
      </c>
      <c r="H7" s="11">
        <v>46375</v>
      </c>
    </row>
    <row r="8" spans="2:8" ht="19.5" customHeight="1">
      <c r="B8" s="11"/>
      <c r="C8" s="11"/>
      <c r="D8" s="90" t="s">
        <v>75</v>
      </c>
      <c r="E8" s="107" t="s">
        <v>76</v>
      </c>
      <c r="F8" s="107"/>
      <c r="G8" s="107"/>
      <c r="H8" s="11"/>
    </row>
    <row r="9" spans="2:8" ht="58" customHeight="1">
      <c r="B9" s="11"/>
      <c r="C9" s="83" t="s">
        <v>77</v>
      </c>
      <c r="D9" s="11"/>
      <c r="E9" s="11"/>
      <c r="F9" s="11"/>
      <c r="G9" s="11"/>
      <c r="H9" s="11"/>
    </row>
    <row r="10" spans="2:8" ht="19.5" customHeight="1">
      <c r="B10" s="9">
        <f t="array" ref="B10:H10">DaysAndWeeks+DATE(CalendarYear,12,1)-WEEKDAY(DATE(CalendarYear,12,1),(WeekStart="Monday")+1)+22</f>
        <v>46376</v>
      </c>
      <c r="C10" s="9">
        <v>46377</v>
      </c>
      <c r="D10" s="9">
        <v>46378</v>
      </c>
      <c r="E10" s="9">
        <v>46379</v>
      </c>
      <c r="F10" s="9">
        <v>46380</v>
      </c>
      <c r="G10" s="9">
        <v>46381</v>
      </c>
      <c r="H10" s="9">
        <v>46382</v>
      </c>
    </row>
    <row r="11" spans="2:8" ht="58" customHeight="1">
      <c r="B11" s="9"/>
      <c r="C11" s="108" t="s">
        <v>78</v>
      </c>
      <c r="D11" s="108"/>
      <c r="E11" s="108"/>
      <c r="F11" s="108"/>
      <c r="G11" s="108"/>
      <c r="H11" s="9"/>
    </row>
    <row r="12" spans="2:8" ht="19.5" customHeight="1">
      <c r="B12" s="11">
        <f t="array" ref="B12:H12">DaysAndWeeks+DATE(CalendarYear,12,1)-WEEKDAY(DATE(CalendarYear,12,1),(WeekStart="Monday")+1)+29</f>
        <v>46383</v>
      </c>
      <c r="C12" s="11">
        <v>46384</v>
      </c>
      <c r="D12" s="11">
        <v>46385</v>
      </c>
      <c r="E12" s="11">
        <v>46386</v>
      </c>
      <c r="F12" s="11">
        <v>46387</v>
      </c>
      <c r="G12" s="11">
        <v>46388</v>
      </c>
      <c r="H12" s="11">
        <v>46389</v>
      </c>
    </row>
    <row r="13" spans="2:8" ht="58" customHeight="1">
      <c r="B13" s="11"/>
      <c r="C13" s="108" t="s">
        <v>78</v>
      </c>
      <c r="D13" s="108"/>
      <c r="E13" s="108"/>
      <c r="F13" s="108"/>
      <c r="G13" s="108"/>
      <c r="H13" s="11"/>
    </row>
    <row r="14" spans="2:8" ht="19.5" customHeight="1">
      <c r="B14" s="9">
        <f t="array" ref="B14:C14">DaysAndWeeks+DATE(CalendarYear,12,1)-WEEKDAY(DATE(CalendarYear,12,1),(WeekStart="Monday")+1)+36</f>
        <v>46390</v>
      </c>
      <c r="C14" s="9">
        <v>46391</v>
      </c>
      <c r="D14" s="7" t="s">
        <v>4</v>
      </c>
      <c r="E14" s="92"/>
      <c r="F14" s="92"/>
      <c r="G14" s="92"/>
      <c r="H14" s="93"/>
    </row>
    <row r="15" spans="2:8" ht="58" customHeight="1">
      <c r="B15" s="9"/>
      <c r="C15" s="9"/>
      <c r="D15" s="8"/>
      <c r="E15" s="94"/>
      <c r="F15" s="94"/>
      <c r="G15" s="94"/>
      <c r="H15" s="95"/>
    </row>
  </sheetData>
  <mergeCells count="6">
    <mergeCell ref="E14:H15"/>
    <mergeCell ref="E8:G8"/>
    <mergeCell ref="C11:G11"/>
    <mergeCell ref="C13:G13"/>
    <mergeCell ref="E4:F4"/>
    <mergeCell ref="E6:F6"/>
  </mergeCells>
  <conditionalFormatting sqref="B14:D14">
    <cfRule type="expression" dxfId="17" priority="1">
      <formula>AND(DAY(B14)&gt;=1,DAY(B14)&lt;=15)</formula>
    </cfRule>
  </conditionalFormatting>
  <conditionalFormatting sqref="B3:G3">
    <cfRule type="expression" dxfId="16" priority="3">
      <formula>DAY(B3)&gt;8</formula>
    </cfRule>
  </conditionalFormatting>
  <conditionalFormatting sqref="B12:H12">
    <cfRule type="expression" dxfId="15" priority="4">
      <formula>AND(DAY(B12)&gt;=1,DAY(B12)&lt;=15)</formula>
    </cfRule>
  </conditionalFormatting>
  <dataValidations count="9">
    <dataValidation allowBlank="1" showInputMessage="1" showErrorMessage="1" prompt="Automatically determined weekday" sqref="C2:H2" xr:uid="{00000000-0002-0000-0B00-000000000000}"/>
    <dataValidation allowBlank="1" showErrorMessage="1" prompt="The year in this cell is automatically updated based on the year entered in January worksheet. Calendar below has dates for previous and next month with lighter font shade" sqref="B1" xr:uid="{00000000-0002-0000-0B00-000001000000}"/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00000000-0002-0000-0B00-00000200000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00000000-0002-0000-0B00-000003000000}"/>
    <dataValidation allowBlank="1" showInputMessage="1" showErrorMessage="1" prompt="December month calendar" sqref="A1" xr:uid="{00000000-0002-0000-0B00-000005000000}"/>
    <dataValidation allowBlank="1" showInputMessage="1" showErrorMessage="1" prompt="Enter Notes in the cell at right" sqref="D14:D15" xr:uid="{00000000-0002-0000-0B00-000006000000}"/>
    <dataValidation allowBlank="1" showInputMessage="1" showErrorMessage="1" prompt="Enter Notes in this cell" sqref="E14:H15" xr:uid="{00000000-0002-0000-0B00-000007000000}"/>
    <dataValidation allowBlank="1" showInputMessage="1" showErrorMessage="1" prompt="This row &amp; rows 6, 8, 10, 12, &amp; 14 are cells for entering daily notes related to the calendar day in the cell above" sqref="B4" xr:uid="{00000000-0002-0000-0B00-000008000000}"/>
    <dataValidation allowBlank="1" showInputMessage="1" showErrorMessage="1" prompt="The year in this cell is automatically updated. Select another year in cell K3 of the January worksheet to change the year" sqref="C1" xr:uid="{0ED9C6F5-D117-4D38-BF48-93FAA0D1B91E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B1EF9-BD88-471C-A1EC-A9A06BA85DB4}">
  <sheetPr>
    <tabColor theme="6"/>
    <pageSetUpPr autoPageBreaks="0" fitToPage="1"/>
  </sheetPr>
  <dimension ref="A1:K14"/>
  <sheetViews>
    <sheetView showGridLines="0" topLeftCell="A2" zoomScale="106" zoomScaleNormal="100" workbookViewId="0">
      <selection activeCell="E13" sqref="E13:H14"/>
    </sheetView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2.78515625" customWidth="1"/>
    <col min="11" max="11" width="13.78515625" customWidth="1"/>
  </cols>
  <sheetData>
    <row r="1" spans="1:11" s="1" customFormat="1" ht="60" customHeight="1">
      <c r="A1"/>
      <c r="B1" s="17" t="str">
        <f>"January "&amp;CalendarYear</f>
        <v>January 2027</v>
      </c>
      <c r="C1" s="18"/>
      <c r="D1" s="18"/>
      <c r="E1" s="19"/>
      <c r="F1" s="19"/>
      <c r="G1" s="19"/>
      <c r="H1" s="20"/>
    </row>
    <row r="2" spans="1:11" s="2" customFormat="1" ht="21.75" customHeight="1">
      <c r="A2"/>
      <c r="B2" s="5" t="str">
        <f>WeekStart</f>
        <v>SUNDAY</v>
      </c>
      <c r="C2" s="5" t="str">
        <f t="shared" ref="C2:H2" si="0">UPPER(TEXT(C3,"dddd"))</f>
        <v>MONDAY</v>
      </c>
      <c r="D2" s="5" t="str">
        <f>UPPER(TEXT(D3,"dddd"))</f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  <c r="J2" s="102" t="s">
        <v>0</v>
      </c>
      <c r="K2" s="102"/>
    </row>
    <row r="3" spans="1:11" s="3" customFormat="1" ht="19.5" customHeight="1">
      <c r="A3"/>
      <c r="B3" s="11">
        <f t="array" ref="B3:H3">DaysAndWeeks+DATE(CalendarYear,1,1)-WEEKDAY(DATE(CalendarYear,1,1),(WeekStart="Monday")+1)+1</f>
        <v>46383</v>
      </c>
      <c r="C3" s="11">
        <v>46384</v>
      </c>
      <c r="D3" s="11">
        <v>46385</v>
      </c>
      <c r="E3" s="11">
        <v>46386</v>
      </c>
      <c r="F3" s="11">
        <v>46387</v>
      </c>
      <c r="G3" s="11">
        <v>46388</v>
      </c>
      <c r="H3" s="11">
        <v>46389</v>
      </c>
      <c r="J3" s="6" t="s">
        <v>1</v>
      </c>
      <c r="K3" s="12">
        <v>2027</v>
      </c>
    </row>
    <row r="4" spans="1:11" ht="58" customHeight="1">
      <c r="B4" s="11"/>
      <c r="C4" s="108" t="s">
        <v>78</v>
      </c>
      <c r="D4" s="108"/>
      <c r="E4" s="108"/>
      <c r="F4" s="108"/>
      <c r="G4" s="108"/>
      <c r="H4" s="11"/>
      <c r="J4" s="13" t="s">
        <v>2</v>
      </c>
      <c r="K4" s="14" t="s">
        <v>3</v>
      </c>
    </row>
    <row r="5" spans="1:11" s="3" customFormat="1" ht="19.5" customHeight="1">
      <c r="A5"/>
      <c r="B5" s="10">
        <f t="array" ref="B5:H5">DaysAndWeeks+DATE(CalendarYear,1,1)-WEEKDAY(DATE(CalendarYear,1,1),(WeekStart="Monday")+1)+8</f>
        <v>46390</v>
      </c>
      <c r="C5" s="10">
        <v>46391</v>
      </c>
      <c r="D5" s="10">
        <v>46392</v>
      </c>
      <c r="E5" s="10">
        <v>46393</v>
      </c>
      <c r="F5" s="10">
        <v>46394</v>
      </c>
      <c r="G5" s="10">
        <v>46395</v>
      </c>
      <c r="H5" s="10">
        <v>46396</v>
      </c>
    </row>
    <row r="6" spans="1:11" ht="58" customHeight="1">
      <c r="B6" s="10"/>
      <c r="C6" s="69" t="s">
        <v>46</v>
      </c>
      <c r="D6" s="84" t="s">
        <v>79</v>
      </c>
      <c r="E6" s="109" t="s">
        <v>80</v>
      </c>
      <c r="F6" s="109"/>
      <c r="G6" s="85" t="s">
        <v>81</v>
      </c>
      <c r="H6" s="10"/>
      <c r="J6" s="4"/>
    </row>
    <row r="7" spans="1:11" s="3" customFormat="1" ht="19.5" customHeight="1">
      <c r="A7"/>
      <c r="B7" s="11">
        <f t="array" ref="B7:H7">DaysAndWeeks+DATE(CalendarYear,1,1)-WEEKDAY(DATE(CalendarYear,1,1),(WeekStart="Monday")+1)+15</f>
        <v>46397</v>
      </c>
      <c r="C7" s="11">
        <v>46398</v>
      </c>
      <c r="D7" s="11">
        <v>46399</v>
      </c>
      <c r="E7" s="11">
        <v>46400</v>
      </c>
      <c r="F7" s="11">
        <v>46401</v>
      </c>
      <c r="G7" s="11">
        <v>46402</v>
      </c>
      <c r="H7" s="11">
        <v>46403</v>
      </c>
      <c r="J7" s="4"/>
    </row>
    <row r="8" spans="1:11" s="74" customFormat="1" ht="58" customHeight="1">
      <c r="B8" s="73"/>
      <c r="C8" s="73" t="s">
        <v>82</v>
      </c>
      <c r="D8" s="77" t="s">
        <v>83</v>
      </c>
      <c r="E8" s="98" t="s">
        <v>84</v>
      </c>
      <c r="F8" s="98"/>
      <c r="G8" s="73" t="s">
        <v>85</v>
      </c>
      <c r="H8" s="73"/>
    </row>
    <row r="9" spans="1:11" s="3" customFormat="1" ht="19.5" customHeight="1">
      <c r="A9"/>
      <c r="B9" s="9">
        <f t="array" ref="B9:H9">DaysAndWeeks+DATE(CalendarYear,1,1)-WEEKDAY(DATE(CalendarYear,1,1),(WeekStart="Monday")+1)+22</f>
        <v>46404</v>
      </c>
      <c r="C9" s="9">
        <v>46405</v>
      </c>
      <c r="D9" s="9">
        <v>46406</v>
      </c>
      <c r="E9" s="9">
        <v>46407</v>
      </c>
      <c r="F9" s="9">
        <v>46408</v>
      </c>
      <c r="G9" s="9">
        <v>46409</v>
      </c>
      <c r="H9" s="9">
        <v>46410</v>
      </c>
    </row>
    <row r="10" spans="1:11" s="65" customFormat="1" ht="58" customHeight="1">
      <c r="B10" s="66"/>
      <c r="C10" s="67" t="s">
        <v>86</v>
      </c>
      <c r="D10" s="66" t="s">
        <v>87</v>
      </c>
      <c r="E10" s="100" t="s">
        <v>88</v>
      </c>
      <c r="F10" s="100"/>
      <c r="G10" s="79" t="s">
        <v>89</v>
      </c>
      <c r="H10" s="66"/>
    </row>
    <row r="11" spans="1:11" s="3" customFormat="1" ht="19.5" customHeight="1">
      <c r="A11"/>
      <c r="B11" s="11">
        <f t="array" ref="B11:H11">DaysAndWeeks+DATE(CalendarYear,1,1)-WEEKDAY(DATE(CalendarYear,1,1),(WeekStart="Monday")+1)+29</f>
        <v>46411</v>
      </c>
      <c r="C11" s="11">
        <v>46412</v>
      </c>
      <c r="D11" s="11">
        <v>46413</v>
      </c>
      <c r="E11" s="11">
        <v>46414</v>
      </c>
      <c r="F11" s="11">
        <v>46415</v>
      </c>
      <c r="G11" s="11">
        <v>46416</v>
      </c>
      <c r="H11" s="11">
        <v>46417</v>
      </c>
    </row>
    <row r="12" spans="1:11" s="74" customFormat="1" ht="58" customHeight="1">
      <c r="B12" s="73"/>
      <c r="C12" s="73" t="s">
        <v>90</v>
      </c>
      <c r="D12" s="73" t="s">
        <v>91</v>
      </c>
      <c r="E12" s="105" t="s">
        <v>92</v>
      </c>
      <c r="F12" s="105"/>
      <c r="G12" s="73" t="s">
        <v>93</v>
      </c>
      <c r="H12" s="73"/>
    </row>
    <row r="13" spans="1:11" s="3" customFormat="1" ht="19.5" customHeight="1">
      <c r="A13"/>
      <c r="B13" s="9">
        <f t="array" ref="B13:C13">DaysAndWeeks+DATE(CalendarYear,1,1)-WEEKDAY(DATE(CalendarYear,1,1),(WeekStart="Monday")+1)+36</f>
        <v>46418</v>
      </c>
      <c r="C13" s="9">
        <v>46419</v>
      </c>
      <c r="D13" s="7" t="s">
        <v>4</v>
      </c>
      <c r="E13" s="92"/>
      <c r="F13" s="92"/>
      <c r="G13" s="92"/>
      <c r="H13" s="93"/>
    </row>
    <row r="14" spans="1:11" ht="58" customHeight="1">
      <c r="B14" s="9"/>
      <c r="C14" s="76" t="s">
        <v>94</v>
      </c>
      <c r="D14" s="88" t="s">
        <v>95</v>
      </c>
      <c r="E14" s="94"/>
      <c r="F14" s="94"/>
      <c r="G14" s="94"/>
      <c r="H14" s="95"/>
    </row>
  </sheetData>
  <mergeCells count="7">
    <mergeCell ref="J2:K2"/>
    <mergeCell ref="E13:H14"/>
    <mergeCell ref="C4:G4"/>
    <mergeCell ref="E6:F6"/>
    <mergeCell ref="E8:F8"/>
    <mergeCell ref="E10:F10"/>
    <mergeCell ref="E12:F12"/>
  </mergeCells>
  <conditionalFormatting sqref="B13:D13">
    <cfRule type="expression" dxfId="14" priority="1">
      <formula>AND(DAY(B13)&gt;=1,DAY(B13)&lt;=15)</formula>
    </cfRule>
  </conditionalFormatting>
  <conditionalFormatting sqref="B3:G3">
    <cfRule type="expression" dxfId="13" priority="2">
      <formula>DAY(B3)&gt;8</formula>
    </cfRule>
  </conditionalFormatting>
  <conditionalFormatting sqref="B11:H11">
    <cfRule type="expression" dxfId="12" priority="3">
      <formula>AND(DAY(B11)&gt;=1,DAY(B11)&lt;=15)</formula>
    </cfRule>
  </conditionalFormatting>
  <dataValidations count="14"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9E6202D3-F8B6-4387-ABCB-F4C80520908C}"/>
    <dataValidation allowBlank="1" showInputMessage="1" showErrorMessage="1" prompt="The year in this cell is automatically updated. Select another year in cell K3 to change the year" sqref="C1" xr:uid="{1EB825F0-3178-468B-9AA4-921DD2D60E65}"/>
    <dataValidation allowBlank="1" showInputMessage="1" showErrorMessage="1" prompt="Enter Notes in the cell at right" sqref="D13" xr:uid="{E556CACF-FCFC-4462-8D22-CC602F378315}"/>
    <dataValidation allowBlank="1" showInputMessage="1" showErrorMessage="1" prompt="Enter Notes in this cell" sqref="E13:H14" xr:uid="{6FBE4B37-BB8F-4093-B1D3-D2D12EF991D4}"/>
    <dataValidation allowBlank="1" showInputMessage="1" showErrorMessage="1" prompt="This row &amp; rows 6, 8, 10, 12, &amp; 14 are cells for entering daily notes related to the calendar day in the cell above" sqref="B4" xr:uid="{E816E2A4-9AE5-4E3E-9F50-DBA1E7F6E2EC}"/>
    <dataValidation allowBlank="1" showInputMessage="1" showErrorMessage="1" prompt="Automatically determined weekday" sqref="C2:H2" xr:uid="{FF5B9001-2681-4984-BAB0-564558D73E65}"/>
    <dataValidation allowBlank="1" showErrorMessage="1" prompt="The year in this cell is automatically updated based on the year entered in cell K2. Calendar below has dates for previous and next month with lighter font shade" sqref="B1" xr:uid="{5CE90069-46DF-4E24-926E-36EA4D57BC0B}"/>
    <dataValidation allowBlank="1" showInputMessage="1" showErrorMessage="1" prompt="This row contains the weekday names for this calendar. This cell contains the starting day of the week. To change the starting day, enter a new weekday in cell K4" sqref="B2" xr:uid="{C48D3B11-77C3-46AE-A885-C80D4A773CC0}"/>
    <dataValidation allowBlank="1" showInputMessage="1" showErrorMessage="1" prompt="Enter year in this cell" sqref="K3" xr:uid="{50C1C40A-17B5-478D-A45E-C51258874E11}"/>
    <dataValidation allowBlank="1" showInputMessage="1" showErrorMessage="1" prompt="Select week start day in cell at right" sqref="J4" xr:uid="{E9A8AE0E-4F88-47B4-9AE2-DA14B95FE05E}"/>
    <dataValidation allowBlank="1" showInputMessage="1" showErrorMessage="1" prompt="Enter year in cell at right" sqref="J3" xr:uid="{2B532F43-1704-4C34-B966-7DE9D30044C2}"/>
    <dataValidation allowBlank="1" showInputMessage="1" showErrorMessage="1" prompt="Enter year and select calendar start day in the cells below. These Calendar Settings cells will not print" sqref="J2" xr:uid="{731C26C7-6C22-4DF3-88BA-5561951D85AD}"/>
    <dataValidation allowBlank="1" showInputMessage="1" showErrorMessage="1" prompt="Create custom one-month calendars in this workbook. Customize the year and starting day of the week for all months with this January worksheet. Each month is on a separate worksheet" sqref="A1" xr:uid="{7EEEAA20-D82D-432F-B318-0CF32A826469}"/>
    <dataValidation type="list" errorStyle="warning" allowBlank="1" showInputMessage="1" showErrorMessage="1" error="Select a day from the list. Select CANCEL, then press ALT+DOWN ARROW to pick day from the drop-down list" prompt="Select week start day in this cell. Press ALT+DOWN ARROW to open the drop-down list, then press ENTER to select the week start day" sqref="K4" xr:uid="{68F00D9E-29B4-41D0-920E-901B8E125A03}">
      <formula1>"SUNDAY,MONDAY"</formula1>
    </dataValidation>
  </dataValidations>
  <printOptions horizontalCentered="1" verticalCentered="1"/>
  <pageMargins left="0.7" right="0.7" top="0.75" bottom="0.75" header="0.3" footer="0.3"/>
  <pageSetup scale="89" orientation="landscape" r:id="rId1"/>
  <headerFooter differentFirst="1" alignWithMargins="0">
    <oddFooter>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150E-FE15-423B-95CA-6782717B1C4E}">
  <sheetPr>
    <tabColor theme="6" tint="0.39997558519241921"/>
    <pageSetUpPr fitToPage="1"/>
  </sheetPr>
  <dimension ref="A1:M14"/>
  <sheetViews>
    <sheetView showGridLines="0" topLeftCell="B1" zoomScaleNormal="100" workbookViewId="0">
      <selection activeCell="C4" sqref="C4"/>
    </sheetView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1:13" s="1" customFormat="1" ht="59.25" customHeight="1">
      <c r="A1"/>
      <c r="B1" s="25" t="str">
        <f>"February "&amp;CalendarYear</f>
        <v>February 2027</v>
      </c>
      <c r="C1" s="26"/>
      <c r="D1" s="26"/>
      <c r="E1" s="27"/>
      <c r="F1" s="27"/>
      <c r="G1" s="27"/>
      <c r="H1" s="28"/>
    </row>
    <row r="2" spans="1:13" s="2" customFormat="1" ht="21.75" customHeight="1">
      <c r="A2"/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1:13" s="3" customFormat="1" ht="19.5" customHeight="1">
      <c r="A3"/>
      <c r="B3" s="11">
        <f t="array" ref="B3:H3">DaysAndWeeks+DATE(CalendarYear,2,1)-WEEKDAY(DATE(CalendarYear,2,1),(WeekStart="Monday")+1)+1</f>
        <v>46418</v>
      </c>
      <c r="C3" s="11">
        <v>46419</v>
      </c>
      <c r="D3" s="11">
        <v>46420</v>
      </c>
      <c r="E3" s="11">
        <v>46421</v>
      </c>
      <c r="F3" s="11">
        <v>46422</v>
      </c>
      <c r="G3" s="11">
        <v>46423</v>
      </c>
      <c r="H3" s="11">
        <v>46424</v>
      </c>
    </row>
    <row r="4" spans="1:13" s="74" customFormat="1" ht="58" customHeight="1">
      <c r="B4" s="73"/>
      <c r="C4" s="76" t="s">
        <v>94</v>
      </c>
      <c r="D4" s="76" t="s">
        <v>96</v>
      </c>
      <c r="E4" s="98" t="s">
        <v>97</v>
      </c>
      <c r="F4" s="98"/>
      <c r="G4" s="73" t="s">
        <v>98</v>
      </c>
      <c r="H4" s="73"/>
    </row>
    <row r="5" spans="1:13" s="3" customFormat="1" ht="19.5" customHeight="1">
      <c r="A5"/>
      <c r="B5" s="9">
        <f t="array" ref="B5:H5">DaysAndWeeks+DATE(CalendarYear,2,1)-WEEKDAY(DATE(CalendarYear,2,1),(WeekStart="Monday")+1)+8</f>
        <v>46425</v>
      </c>
      <c r="C5" s="9">
        <v>46426</v>
      </c>
      <c r="D5" s="9">
        <v>46427</v>
      </c>
      <c r="E5" s="9">
        <v>46428</v>
      </c>
      <c r="F5" s="9">
        <v>46429</v>
      </c>
      <c r="G5" s="9">
        <v>46430</v>
      </c>
      <c r="H5" s="9">
        <v>46431</v>
      </c>
    </row>
    <row r="6" spans="1:13" s="74" customFormat="1" ht="58" customHeight="1">
      <c r="B6" s="66"/>
      <c r="C6" s="66" t="s">
        <v>99</v>
      </c>
      <c r="D6" s="66" t="s">
        <v>100</v>
      </c>
      <c r="E6" s="100" t="s">
        <v>101</v>
      </c>
      <c r="F6" s="100"/>
      <c r="G6" s="67" t="s">
        <v>102</v>
      </c>
      <c r="H6" s="66"/>
    </row>
    <row r="7" spans="1:13" s="3" customFormat="1" ht="19.5" customHeight="1">
      <c r="A7"/>
      <c r="B7" s="11">
        <f t="array" ref="B7:H7">DaysAndWeeks+DATE(CalendarYear,2,1)-WEEKDAY(DATE(CalendarYear,2,1),(WeekStart="Monday")+1)+15</f>
        <v>46432</v>
      </c>
      <c r="C7" s="11">
        <v>46433</v>
      </c>
      <c r="D7" s="11">
        <v>46434</v>
      </c>
      <c r="E7" s="11">
        <v>46435</v>
      </c>
      <c r="F7" s="11">
        <v>46436</v>
      </c>
      <c r="G7" s="11">
        <v>46437</v>
      </c>
      <c r="H7" s="11">
        <v>46438</v>
      </c>
    </row>
    <row r="8" spans="1:13" ht="58" customHeight="1">
      <c r="B8" s="11"/>
      <c r="C8" s="70" t="s">
        <v>102</v>
      </c>
      <c r="D8" s="71" t="s">
        <v>46</v>
      </c>
      <c r="E8" s="110" t="s">
        <v>103</v>
      </c>
      <c r="F8" s="110"/>
      <c r="G8" s="73" t="s">
        <v>104</v>
      </c>
      <c r="H8" s="11"/>
      <c r="M8" s="73"/>
    </row>
    <row r="9" spans="1:13" s="3" customFormat="1" ht="19.5" customHeight="1">
      <c r="A9"/>
      <c r="B9" s="9">
        <f t="array" ref="B9:H9">DaysAndWeeks+DATE(CalendarYear,2,1)-WEEKDAY(DATE(CalendarYear,2,1),(WeekStart="Monday")+1)+22</f>
        <v>46439</v>
      </c>
      <c r="C9" s="9">
        <v>46440</v>
      </c>
      <c r="D9" s="9">
        <v>46441</v>
      </c>
      <c r="E9" s="9">
        <v>46442</v>
      </c>
      <c r="F9" s="9">
        <v>46443</v>
      </c>
      <c r="G9" s="9">
        <v>46444</v>
      </c>
      <c r="H9" s="9">
        <v>46445</v>
      </c>
    </row>
    <row r="10" spans="1:13" s="74" customFormat="1" ht="58" customHeight="1">
      <c r="B10" s="66"/>
      <c r="C10" s="66" t="s">
        <v>35</v>
      </c>
      <c r="D10" s="76" t="s">
        <v>105</v>
      </c>
      <c r="E10" s="100" t="s">
        <v>106</v>
      </c>
      <c r="F10" s="100"/>
      <c r="G10" s="66" t="s">
        <v>107</v>
      </c>
      <c r="H10" s="66"/>
    </row>
    <row r="11" spans="1:13" s="3" customFormat="1" ht="19.5" customHeight="1">
      <c r="A11"/>
      <c r="B11" s="11">
        <f t="array" ref="B11:H11">DaysAndWeeks+DATE(CalendarYear,2,1)-WEEKDAY(DATE(CalendarYear,2,1),(WeekStart="Monday")+1)+29</f>
        <v>46446</v>
      </c>
      <c r="C11" s="11">
        <v>46447</v>
      </c>
      <c r="D11" s="11">
        <v>46448</v>
      </c>
      <c r="E11" s="11">
        <v>46449</v>
      </c>
      <c r="F11" s="11">
        <v>46450</v>
      </c>
      <c r="G11" s="11">
        <v>46451</v>
      </c>
      <c r="H11" s="11">
        <v>46452</v>
      </c>
    </row>
    <row r="12" spans="1:13" s="74" customFormat="1" ht="58" customHeight="1">
      <c r="B12" s="73"/>
      <c r="C12" s="74" t="s">
        <v>108</v>
      </c>
      <c r="D12" s="87" t="s">
        <v>109</v>
      </c>
      <c r="E12" s="110" t="s">
        <v>110</v>
      </c>
      <c r="F12" s="110"/>
      <c r="G12" s="87" t="s">
        <v>111</v>
      </c>
      <c r="H12" s="73"/>
    </row>
    <row r="13" spans="1:13" s="3" customFormat="1" ht="19.5" customHeight="1">
      <c r="A13"/>
      <c r="B13" s="9">
        <f t="array" ref="B13:C13">DaysAndWeeks+DATE(CalendarYear,2,1)-WEEKDAY(DATE(CalendarYear,2,1),(WeekStart="Monday")+1)+36</f>
        <v>46453</v>
      </c>
      <c r="C13" s="9">
        <v>46454</v>
      </c>
      <c r="D13" s="7" t="s">
        <v>4</v>
      </c>
      <c r="E13" s="92"/>
      <c r="F13" s="92"/>
      <c r="G13" s="92"/>
      <c r="H13" s="93"/>
    </row>
    <row r="14" spans="1:13" ht="58" customHeight="1">
      <c r="B14" s="9"/>
      <c r="C14" s="9"/>
      <c r="D14" s="8"/>
      <c r="E14" s="94"/>
      <c r="F14" s="94"/>
      <c r="G14" s="94"/>
      <c r="H14" s="95"/>
    </row>
  </sheetData>
  <mergeCells count="6">
    <mergeCell ref="E13:H14"/>
    <mergeCell ref="E4:F4"/>
    <mergeCell ref="E6:F6"/>
    <mergeCell ref="E8:F8"/>
    <mergeCell ref="E10:F10"/>
    <mergeCell ref="E12:F12"/>
  </mergeCells>
  <conditionalFormatting sqref="B13:D13">
    <cfRule type="expression" dxfId="11" priority="1">
      <formula>AND(DAY(B13)&gt;=1,DAY(B13)&lt;=15)</formula>
    </cfRule>
  </conditionalFormatting>
  <conditionalFormatting sqref="B3:G3">
    <cfRule type="expression" dxfId="10" priority="2">
      <formula>DAY(B3)&gt;8</formula>
    </cfRule>
  </conditionalFormatting>
  <conditionalFormatting sqref="B11:H11">
    <cfRule type="expression" dxfId="9" priority="3">
      <formula>AND(DAY(B11)&gt;=1,DAY(B11)&lt;=15)</formula>
    </cfRule>
  </conditionalFormatting>
  <dataValidations count="9"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A3B4C771-3001-436E-A842-11BC9B7E3973}"/>
    <dataValidation allowBlank="1" showInputMessage="1" showErrorMessage="1" prompt="The year in this cell is automatically updated. Select another year in cell K3 of the January worksheet to change the year" sqref="C1" xr:uid="{1EC487DA-B963-42E1-B9FA-BC91BC847F99}"/>
    <dataValidation allowBlank="1" showInputMessage="1" showErrorMessage="1" prompt="This row &amp; rows 6, 8, 10, 12, &amp; 14 are cells for entering daily notes related to the calendar day in the cell above" sqref="B4" xr:uid="{9B92336C-9F67-4D26-8C91-3BD31E942772}"/>
    <dataValidation allowBlank="1" showInputMessage="1" showErrorMessage="1" prompt="Enter Notes in this cell" sqref="E13:H14" xr:uid="{E9110DBA-8D5F-481B-8B77-8C1C486C92C8}"/>
    <dataValidation allowBlank="1" showInputMessage="1" showErrorMessage="1" prompt="Enter Notes in the cell at right" sqref="D13:D14" xr:uid="{B0979BD8-909E-47DA-93E7-D70D418CAE0C}"/>
    <dataValidation allowBlank="1" showInputMessage="1" showErrorMessage="1" prompt="February month calendar" sqref="A1" xr:uid="{2739BF65-A171-48BB-AB05-FD7125F41846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C327DAAB-30B5-400B-A249-8F7496FB4FB1}"/>
    <dataValidation allowBlank="1" showErrorMessage="1" prompt="The year in this cell is automatically updated based on the year entered in January worksheet. Calendar below has dates for previous and next month with lighter font shade" sqref="B1" xr:uid="{51AADA11-4BF1-4721-BDEA-03799ECADFBF}"/>
    <dataValidation allowBlank="1" showInputMessage="1" showErrorMessage="1" prompt="Automatically determined weekday" sqref="C2:H2" xr:uid="{6B2360DE-61FA-4B56-8871-075C25FB675B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DA6BF-DDEC-4676-8BCC-6C3A76D52CA4}">
  <sheetPr>
    <tabColor theme="4" tint="0.39997558519241921"/>
    <pageSetUpPr fitToPage="1"/>
  </sheetPr>
  <dimension ref="B1:H14"/>
  <sheetViews>
    <sheetView showGridLines="0" zoomScaleNormal="100" workbookViewId="0">
      <selection activeCell="G12" sqref="C12:G12"/>
    </sheetView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2:8" ht="59.25" customHeight="1">
      <c r="B1" s="31" t="str">
        <f>"March "&amp;CalendarYear</f>
        <v>March 2027</v>
      </c>
      <c r="C1" s="32"/>
      <c r="D1" s="32"/>
      <c r="E1" s="33"/>
      <c r="F1" s="33"/>
      <c r="G1" s="33"/>
      <c r="H1" s="34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DaysAndWeeks+DATE(CalendarYear,3,1)-WEEKDAY(DATE(CalendarYear,3,1),(WeekStart="Monday")+1)+1</f>
        <v>46446</v>
      </c>
      <c r="C3" s="11">
        <v>46447</v>
      </c>
      <c r="D3" s="11">
        <v>46448</v>
      </c>
      <c r="E3" s="11">
        <v>46449</v>
      </c>
      <c r="F3" s="11">
        <v>46450</v>
      </c>
      <c r="G3" s="11">
        <v>46451</v>
      </c>
      <c r="H3" s="11">
        <v>46452</v>
      </c>
    </row>
    <row r="4" spans="2:8" s="74" customFormat="1" ht="58" customHeight="1">
      <c r="C4" s="74" t="s">
        <v>108</v>
      </c>
      <c r="D4" s="87" t="s">
        <v>109</v>
      </c>
      <c r="E4" s="110" t="s">
        <v>110</v>
      </c>
      <c r="F4" s="110"/>
      <c r="G4" s="87" t="s">
        <v>111</v>
      </c>
      <c r="H4" s="73"/>
    </row>
    <row r="5" spans="2:8" ht="19.5" customHeight="1">
      <c r="B5" s="9">
        <f t="array" ref="B5:H5">DaysAndWeeks+DATE(CalendarYear,3,1)-WEEKDAY(DATE(CalendarYear,3,1),(WeekStart="Monday")+1)+8</f>
        <v>46453</v>
      </c>
      <c r="C5" s="9">
        <v>46454</v>
      </c>
      <c r="D5" s="9">
        <v>46455</v>
      </c>
      <c r="E5" s="9">
        <v>46456</v>
      </c>
      <c r="F5" s="9">
        <v>46457</v>
      </c>
      <c r="G5" s="9">
        <v>46458</v>
      </c>
      <c r="H5" s="9">
        <v>46459</v>
      </c>
    </row>
    <row r="6" spans="2:8" s="74" customFormat="1" ht="58" customHeight="1">
      <c r="B6" s="66"/>
      <c r="C6" s="66" t="s">
        <v>112</v>
      </c>
      <c r="D6" s="66" t="s">
        <v>113</v>
      </c>
      <c r="E6" s="100" t="s">
        <v>114</v>
      </c>
      <c r="F6" s="100"/>
      <c r="G6" s="72" t="s">
        <v>115</v>
      </c>
      <c r="H6" s="66"/>
    </row>
    <row r="7" spans="2:8" ht="19.5" customHeight="1">
      <c r="B7" s="11">
        <f t="array" ref="B7:H7">DaysAndWeeks+DATE(CalendarYear,3,1)-WEEKDAY(DATE(CalendarYear,3,1),(WeekStart="Monday")+1)+15</f>
        <v>46460</v>
      </c>
      <c r="C7" s="11">
        <v>46461</v>
      </c>
      <c r="D7" s="11">
        <v>46462</v>
      </c>
      <c r="E7" s="11">
        <v>46463</v>
      </c>
      <c r="F7" s="11">
        <v>46464</v>
      </c>
      <c r="G7" s="11">
        <v>46465</v>
      </c>
      <c r="H7" s="11">
        <v>46466</v>
      </c>
    </row>
    <row r="8" spans="2:8" s="74" customFormat="1" ht="58" customHeight="1">
      <c r="B8" s="73"/>
      <c r="C8" s="86" t="s">
        <v>46</v>
      </c>
      <c r="D8" s="73" t="s">
        <v>72</v>
      </c>
      <c r="E8" s="98" t="s">
        <v>116</v>
      </c>
      <c r="F8" s="98"/>
      <c r="G8" s="73" t="s">
        <v>35</v>
      </c>
      <c r="H8" s="73"/>
    </row>
    <row r="9" spans="2:8" ht="19.5" customHeight="1">
      <c r="B9" s="9">
        <f t="array" ref="B9:H9">DaysAndWeeks+DATE(CalendarYear,3,1)-WEEKDAY(DATE(CalendarYear,3,1),(WeekStart="Monday")+1)+22</f>
        <v>46467</v>
      </c>
      <c r="C9" s="9">
        <v>46468</v>
      </c>
      <c r="D9" s="9">
        <v>46469</v>
      </c>
      <c r="E9" s="9">
        <v>46470</v>
      </c>
      <c r="F9" s="9">
        <v>46471</v>
      </c>
      <c r="G9" s="9">
        <v>46472</v>
      </c>
      <c r="H9" s="9">
        <v>46473</v>
      </c>
    </row>
    <row r="10" spans="2:8" s="74" customFormat="1" ht="58" customHeight="1">
      <c r="B10" s="66"/>
      <c r="C10" s="66" t="s">
        <v>117</v>
      </c>
      <c r="D10" s="66" t="s">
        <v>118</v>
      </c>
      <c r="E10" s="100" t="s">
        <v>35</v>
      </c>
      <c r="F10" s="100"/>
      <c r="G10" s="66" t="s">
        <v>119</v>
      </c>
      <c r="H10" s="66"/>
    </row>
    <row r="11" spans="2:8" ht="19.5" customHeight="1">
      <c r="B11" s="11">
        <f t="array" ref="B11:H11">DaysAndWeeks+DATE(CalendarYear,3,1)-WEEKDAY(DATE(CalendarYear,3,1),(WeekStart="Monday")+1)+29</f>
        <v>46474</v>
      </c>
      <c r="C11" s="11">
        <v>46475</v>
      </c>
      <c r="D11" s="11">
        <v>46476</v>
      </c>
      <c r="E11" s="11">
        <v>46477</v>
      </c>
      <c r="F11" s="11">
        <v>46478</v>
      </c>
      <c r="G11" s="11">
        <v>46479</v>
      </c>
      <c r="H11" s="11">
        <v>46480</v>
      </c>
    </row>
    <row r="12" spans="2:8" s="74" customFormat="1" ht="58" customHeight="1">
      <c r="B12" s="73"/>
      <c r="C12" s="73" t="s">
        <v>35</v>
      </c>
      <c r="D12" s="73" t="s">
        <v>35</v>
      </c>
      <c r="E12" s="111" t="s">
        <v>120</v>
      </c>
      <c r="F12" s="111"/>
      <c r="G12" s="73" t="s">
        <v>121</v>
      </c>
      <c r="H12" s="73"/>
    </row>
    <row r="13" spans="2:8" ht="19.5" customHeight="1">
      <c r="B13" s="9">
        <f t="array" ref="B13:C13">DaysAndWeeks+DATE(CalendarYear,3,1)-WEEKDAY(DATE(CalendarYear,3,1),(WeekStart="Monday")+1)+36</f>
        <v>46481</v>
      </c>
      <c r="C13" s="9">
        <v>46482</v>
      </c>
      <c r="D13" s="7" t="s">
        <v>4</v>
      </c>
      <c r="E13" s="92"/>
      <c r="F13" s="92"/>
      <c r="G13" s="92"/>
      <c r="H13" s="93"/>
    </row>
    <row r="14" spans="2:8" ht="58" customHeight="1">
      <c r="B14" s="9"/>
      <c r="C14" s="9"/>
      <c r="D14" s="8"/>
      <c r="E14" s="94"/>
      <c r="F14" s="94"/>
      <c r="G14" s="94"/>
      <c r="H14" s="95"/>
    </row>
  </sheetData>
  <mergeCells count="6">
    <mergeCell ref="E4:F4"/>
    <mergeCell ref="E13:H14"/>
    <mergeCell ref="E12:F12"/>
    <mergeCell ref="E10:F10"/>
    <mergeCell ref="E8:F8"/>
    <mergeCell ref="E6:F6"/>
  </mergeCells>
  <conditionalFormatting sqref="B13:D13">
    <cfRule type="expression" dxfId="8" priority="2">
      <formula>AND(DAY(B13)&gt;=1,DAY(B13)&lt;=15)</formula>
    </cfRule>
  </conditionalFormatting>
  <conditionalFormatting sqref="B3:G3">
    <cfRule type="expression" dxfId="7" priority="1">
      <formula>DAY(B3)&gt;8</formula>
    </cfRule>
  </conditionalFormatting>
  <conditionalFormatting sqref="B11:H11">
    <cfRule type="expression" dxfId="6" priority="3">
      <formula>AND(DAY(B11)&gt;=1,DAY(B11)&lt;=15)</formula>
    </cfRule>
  </conditionalFormatting>
  <dataValidations count="9"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B7F62683-C160-4CA6-B7F4-8A3C161541A0}"/>
    <dataValidation allowBlank="1" showInputMessage="1" showErrorMessage="1" prompt="The year in this cell is automatically updated. Select another year in cell K3 of the January worksheet to change the year" sqref="C1" xr:uid="{BE79CD32-9B05-42ED-B52D-626F56A2C2AC}"/>
    <dataValidation allowBlank="1" showInputMessage="1" showErrorMessage="1" prompt="Automatically determined weekday" sqref="C2:H2" xr:uid="{4D4745A5-543C-40BB-9477-D4BD87756579}"/>
    <dataValidation allowBlank="1" showErrorMessage="1" prompt="The year in this cell is automatically updated based on the year entered in January worksheet. Calendar below has dates for previous and next month with lighter font shade" sqref="B1" xr:uid="{78BEEA6E-A875-47A2-BF32-2EE58A89EFF3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1AEE6D66-0DBB-443A-9F41-AA902BBA6267}"/>
    <dataValidation allowBlank="1" showInputMessage="1" showErrorMessage="1" prompt="March month calendar" sqref="A1" xr:uid="{F490FD9E-64BA-49D5-938E-09054D2C03A7}"/>
    <dataValidation allowBlank="1" showInputMessage="1" showErrorMessage="1" prompt="Enter Notes in the cell at right" sqref="D13:D14" xr:uid="{C1DC0689-B71B-4C5E-952E-00D9EAEC2250}"/>
    <dataValidation allowBlank="1" showInputMessage="1" showErrorMessage="1" prompt="Enter Notes in this cell" sqref="E13:H14" xr:uid="{7982FDB9-9BF1-4081-891C-B4BA34A8A01F}"/>
    <dataValidation allowBlank="1" showInputMessage="1" showErrorMessage="1" prompt="This row &amp; rows 6, 8, 10, 12, &amp; 14 are cells for entering daily notes related to the calendar day in the cell above" sqref="B4" xr:uid="{F65A3C0A-AA33-43F6-8F6F-9745FAF2A179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DA69B-5439-4873-9A2F-59BCD402C1EA}">
  <sheetPr>
    <tabColor theme="4"/>
    <pageSetUpPr fitToPage="1"/>
  </sheetPr>
  <dimension ref="B1:H14"/>
  <sheetViews>
    <sheetView showGridLines="0" zoomScale="98" zoomScaleNormal="100" workbookViewId="0">
      <selection activeCell="C8" sqref="C8"/>
    </sheetView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2:8" ht="59.25" customHeight="1">
      <c r="B1" s="29" t="str">
        <f>"April "&amp;CalendarYear</f>
        <v>April 2027</v>
      </c>
      <c r="C1" s="15"/>
      <c r="D1" s="15"/>
      <c r="E1" s="16"/>
      <c r="F1" s="16"/>
      <c r="G1" s="16"/>
      <c r="H1" s="30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DaysAndWeeks+DATE(CalendarYear,4,1)-WEEKDAY(DATE(CalendarYear,4,1),(WeekStart="Monday")+1)+1</f>
        <v>46474</v>
      </c>
      <c r="C3" s="11">
        <v>46475</v>
      </c>
      <c r="D3" s="11">
        <v>46476</v>
      </c>
      <c r="E3" s="11">
        <v>46477</v>
      </c>
      <c r="F3" s="11">
        <v>46478</v>
      </c>
      <c r="G3" s="11">
        <v>46479</v>
      </c>
      <c r="H3" s="11">
        <v>46480</v>
      </c>
    </row>
    <row r="4" spans="2:8" ht="58" customHeight="1">
      <c r="B4" s="11"/>
      <c r="C4" s="73" t="s">
        <v>35</v>
      </c>
      <c r="D4" s="73" t="s">
        <v>35</v>
      </c>
      <c r="E4" s="111" t="s">
        <v>120</v>
      </c>
      <c r="F4" s="111"/>
      <c r="G4" s="73" t="s">
        <v>121</v>
      </c>
      <c r="H4" s="11"/>
    </row>
    <row r="5" spans="2:8" ht="19.5" customHeight="1">
      <c r="B5" s="9">
        <f t="array" ref="B5:H5">DaysAndWeeks+DATE(CalendarYear,4,1)-WEEKDAY(DATE(CalendarYear,4,1),(WeekStart="Monday")+1)+8</f>
        <v>46481</v>
      </c>
      <c r="C5" s="9">
        <v>46482</v>
      </c>
      <c r="D5" s="9">
        <v>46483</v>
      </c>
      <c r="E5" s="9">
        <v>46484</v>
      </c>
      <c r="F5" s="9">
        <v>46485</v>
      </c>
      <c r="G5" s="9">
        <v>46486</v>
      </c>
      <c r="H5" s="9">
        <v>46487</v>
      </c>
    </row>
    <row r="6" spans="2:8" ht="58" customHeight="1">
      <c r="B6" s="9"/>
      <c r="C6" s="106" t="s">
        <v>122</v>
      </c>
      <c r="D6" s="106"/>
      <c r="E6" s="106"/>
      <c r="F6" s="106"/>
      <c r="G6" s="106"/>
      <c r="H6" s="9"/>
    </row>
    <row r="7" spans="2:8" ht="19.5" customHeight="1">
      <c r="B7" s="11">
        <f t="array" ref="B7:H7">DaysAndWeeks+DATE(CalendarYear,4,1)-WEEKDAY(DATE(CalendarYear,4,1),(WeekStart="Monday")+1)+15</f>
        <v>46488</v>
      </c>
      <c r="C7" s="11">
        <v>46489</v>
      </c>
      <c r="D7" s="11">
        <v>46490</v>
      </c>
      <c r="E7" s="11">
        <v>46491</v>
      </c>
      <c r="F7" s="11">
        <v>46492</v>
      </c>
      <c r="G7" s="11">
        <v>46493</v>
      </c>
      <c r="H7" s="11">
        <v>46494</v>
      </c>
    </row>
    <row r="8" spans="2:8" ht="58" customHeight="1">
      <c r="B8" s="11"/>
      <c r="C8" s="11"/>
      <c r="D8" s="11"/>
      <c r="E8" s="11"/>
      <c r="F8" s="11"/>
      <c r="G8" s="11"/>
      <c r="H8" s="11"/>
    </row>
    <row r="9" spans="2:8" ht="19.5" customHeight="1">
      <c r="B9" s="9">
        <f t="array" ref="B9:H9">DaysAndWeeks+DATE(CalendarYear,4,1)-WEEKDAY(DATE(CalendarYear,4,1),(WeekStart="Monday")+1)+22</f>
        <v>46495</v>
      </c>
      <c r="C9" s="9">
        <v>46496</v>
      </c>
      <c r="D9" s="9">
        <v>46497</v>
      </c>
      <c r="E9" s="9">
        <v>46498</v>
      </c>
      <c r="F9" s="9">
        <v>46499</v>
      </c>
      <c r="G9" s="9">
        <v>46500</v>
      </c>
      <c r="H9" s="9">
        <v>46501</v>
      </c>
    </row>
    <row r="10" spans="2:8" ht="58" customHeight="1">
      <c r="B10" s="9"/>
      <c r="C10" s="9"/>
      <c r="D10" s="9"/>
      <c r="E10" s="9"/>
      <c r="F10" s="9"/>
      <c r="G10" s="9"/>
      <c r="H10" s="9"/>
    </row>
    <row r="11" spans="2:8" ht="19.5" customHeight="1">
      <c r="B11" s="11">
        <f t="array" ref="B11:H11">DaysAndWeeks+DATE(CalendarYear,4,1)-WEEKDAY(DATE(CalendarYear,4,1),(WeekStart="Monday")+1)+29</f>
        <v>46502</v>
      </c>
      <c r="C11" s="11">
        <v>46503</v>
      </c>
      <c r="D11" s="11">
        <v>46504</v>
      </c>
      <c r="E11" s="11">
        <v>46505</v>
      </c>
      <c r="F11" s="11">
        <v>46506</v>
      </c>
      <c r="G11" s="11">
        <v>46507</v>
      </c>
      <c r="H11" s="11">
        <v>46508</v>
      </c>
    </row>
    <row r="12" spans="2:8" ht="58" customHeight="1">
      <c r="B12" s="11"/>
      <c r="C12" s="11"/>
      <c r="D12" s="11"/>
      <c r="E12" s="11"/>
      <c r="F12" s="11"/>
      <c r="G12" s="11"/>
      <c r="H12" s="11"/>
    </row>
    <row r="13" spans="2:8" ht="19.5" customHeight="1">
      <c r="B13" s="9">
        <f t="array" ref="B13:C13">DaysAndWeeks+DATE(CalendarYear,4,1)-WEEKDAY(DATE(CalendarYear,4,1),(WeekStart="Monday")+1)+36</f>
        <v>46509</v>
      </c>
      <c r="C13" s="9">
        <v>46510</v>
      </c>
      <c r="D13" s="7" t="s">
        <v>4</v>
      </c>
      <c r="E13" s="92"/>
      <c r="F13" s="92"/>
      <c r="G13" s="92"/>
      <c r="H13" s="93"/>
    </row>
    <row r="14" spans="2:8" ht="58" customHeight="1">
      <c r="B14" s="9"/>
      <c r="C14" s="9"/>
      <c r="D14" s="8"/>
      <c r="E14" s="94"/>
      <c r="F14" s="94"/>
      <c r="G14" s="94"/>
      <c r="H14" s="95"/>
    </row>
  </sheetData>
  <mergeCells count="3">
    <mergeCell ref="E13:H14"/>
    <mergeCell ref="C6:G6"/>
    <mergeCell ref="E4:F4"/>
  </mergeCells>
  <conditionalFormatting sqref="B13:D13">
    <cfRule type="expression" dxfId="5" priority="1">
      <formula>AND(DAY(B13)&gt;=1,DAY(B13)&lt;=15)</formula>
    </cfRule>
  </conditionalFormatting>
  <conditionalFormatting sqref="B3:G3">
    <cfRule type="expression" dxfId="4" priority="2">
      <formula>DAY(B3)&gt;8</formula>
    </cfRule>
  </conditionalFormatting>
  <conditionalFormatting sqref="B11:H11">
    <cfRule type="expression" dxfId="3" priority="3">
      <formula>AND(DAY(B11)&gt;=1,DAY(B11)&lt;=15)</formula>
    </cfRule>
  </conditionalFormatting>
  <dataValidations count="9"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3D4826A4-9E5C-4A21-A22D-4BCC749CF92A}"/>
    <dataValidation allowBlank="1" showInputMessage="1" showErrorMessage="1" prompt="The year in this cell is automatically updated. Select another year in cell K3 of the January worksheet to change the year" sqref="C1" xr:uid="{910362C6-F468-4559-9A7A-E8DB61CC7990}"/>
    <dataValidation allowBlank="1" showInputMessage="1" showErrorMessage="1" prompt="This row &amp; rows 6, 8, 10, 12, &amp; 14 are cells for entering daily notes related to the calendar day in the cell above" sqref="B4" xr:uid="{6B5FB3D5-1547-45B0-ABF3-8368722DD1B9}"/>
    <dataValidation allowBlank="1" showInputMessage="1" showErrorMessage="1" prompt="Enter Notes in this cell" sqref="E13:H14" xr:uid="{F7A0FDE0-5E74-456B-92A4-0CDA0EDEC49E}"/>
    <dataValidation allowBlank="1" showInputMessage="1" showErrorMessage="1" prompt="Enter Notes in the cell at right" sqref="D13:D14" xr:uid="{2A6C7789-EA23-4C70-9F34-F4B2FE072510}"/>
    <dataValidation allowBlank="1" showInputMessage="1" showErrorMessage="1" prompt="April month calendar" sqref="A1" xr:uid="{A2A8AC33-BAE4-44D0-9C5B-208066E6B2B0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F5396138-538B-44A1-BEA9-BADCFA4E52BB}"/>
    <dataValidation allowBlank="1" showErrorMessage="1" prompt="The year in this cell is automatically updated based on the year entered in January worksheet. Calendar below has dates for previous and next month with lighter font shade" sqref="B1" xr:uid="{4CF5044E-22AF-407C-898F-4A282793C742}"/>
    <dataValidation allowBlank="1" showInputMessage="1" showErrorMessage="1" prompt="Automatically determined weekday" sqref="C2:H2" xr:uid="{01942BD3-AB8D-4C98-B813-A278F7CBE694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1E78-6DA7-42ED-A6E3-B444C45A9110}">
  <sheetPr>
    <tabColor theme="5"/>
    <pageSetUpPr fitToPage="1"/>
  </sheetPr>
  <dimension ref="B1:H15"/>
  <sheetViews>
    <sheetView showGridLines="0" zoomScale="59" zoomScaleNormal="100" workbookViewId="0">
      <selection activeCell="F10" sqref="F10"/>
    </sheetView>
  </sheetViews>
  <sheetFormatPr defaultColWidth="8.85546875" defaultRowHeight="14"/>
  <cols>
    <col min="1" max="1" width="2.78515625" customWidth="1"/>
    <col min="2" max="2" width="18.42578125" customWidth="1"/>
    <col min="3" max="8" width="17.78515625" customWidth="1"/>
    <col min="9" max="9" width="2.78515625" customWidth="1"/>
    <col min="10" max="10" width="10.640625" customWidth="1"/>
  </cols>
  <sheetData>
    <row r="1" spans="2:8" ht="59.25" customHeight="1">
      <c r="B1" s="35" t="str">
        <f>"May "&amp;CalendarYear</f>
        <v>May 2027</v>
      </c>
      <c r="C1" s="36"/>
      <c r="D1" s="36"/>
      <c r="E1" s="37"/>
      <c r="F1" s="37"/>
      <c r="G1" s="37"/>
      <c r="H1" s="38"/>
    </row>
    <row r="2" spans="2:8" ht="21.75" customHeight="1">
      <c r="B2" s="5" t="str">
        <f>IF(WeekStart="SUNDAY", "SUNDAY","MONDAY")</f>
        <v>SUNDAY</v>
      </c>
      <c r="C2" s="5" t="str">
        <f t="shared" ref="C2:H2" si="0">UPPER(TEXT(C3,"dddd"))</f>
        <v>MONDAY</v>
      </c>
      <c r="D2" s="5" t="str">
        <f t="shared" si="0"/>
        <v>TUESDAY</v>
      </c>
      <c r="E2" s="5" t="str">
        <f t="shared" si="0"/>
        <v>WEDNESDAY</v>
      </c>
      <c r="F2" s="5" t="str">
        <f t="shared" si="0"/>
        <v>THURSDAY</v>
      </c>
      <c r="G2" s="5" t="str">
        <f t="shared" si="0"/>
        <v>FRIDAY</v>
      </c>
      <c r="H2" s="5" t="str">
        <f t="shared" si="0"/>
        <v>SATURDAY</v>
      </c>
    </row>
    <row r="3" spans="2:8" ht="19.5" customHeight="1">
      <c r="B3" s="11">
        <f t="array" ref="B3:H3">DaysAndWeeks+DATE(CalendarYear,5,1)-WEEKDAY(DATE(CalendarYear,5,1),(WeekStart="Monday")+1)+1</f>
        <v>46502</v>
      </c>
      <c r="C3" s="11">
        <v>46503</v>
      </c>
      <c r="D3" s="11">
        <v>46504</v>
      </c>
      <c r="E3" s="11">
        <v>46505</v>
      </c>
      <c r="F3" s="11">
        <v>46506</v>
      </c>
      <c r="G3" s="11">
        <v>46507</v>
      </c>
      <c r="H3" s="11">
        <v>46508</v>
      </c>
    </row>
    <row r="4" spans="2:8" ht="58" customHeight="1">
      <c r="B4" s="11"/>
      <c r="C4" s="11"/>
      <c r="D4" s="11"/>
      <c r="E4" s="11"/>
      <c r="F4" s="11"/>
      <c r="G4" s="11"/>
      <c r="H4" s="11"/>
    </row>
    <row r="5" spans="2:8" ht="19.5" customHeight="1">
      <c r="B5" s="9">
        <f t="array" ref="B5:H5">DaysAndWeeks+DATE(CalendarYear,5,1)-WEEKDAY(DATE(CalendarYear,5,1),(WeekStart="Monday")+1)+8</f>
        <v>46509</v>
      </c>
      <c r="C5" s="9">
        <v>46510</v>
      </c>
      <c r="D5" s="9">
        <v>46511</v>
      </c>
      <c r="E5" s="9">
        <v>46512</v>
      </c>
      <c r="F5" s="9">
        <v>46513</v>
      </c>
      <c r="G5" s="9">
        <v>46514</v>
      </c>
      <c r="H5" s="9">
        <v>46515</v>
      </c>
    </row>
    <row r="6" spans="2:8" ht="58" customHeight="1">
      <c r="B6" s="9"/>
      <c r="C6" s="9"/>
      <c r="D6" s="9"/>
      <c r="E6" s="9"/>
      <c r="F6" s="9"/>
      <c r="G6" s="9"/>
      <c r="H6" s="9"/>
    </row>
    <row r="7" spans="2:8" ht="19.5" customHeight="1">
      <c r="B7" s="11">
        <f t="array" ref="B7:H7">DaysAndWeeks+DATE(CalendarYear,5,1)-WEEKDAY(DATE(CalendarYear,5,1),(WeekStart="Monday")+1)+15</f>
        <v>46516</v>
      </c>
      <c r="C7" s="11">
        <v>46517</v>
      </c>
      <c r="D7" s="11">
        <v>46518</v>
      </c>
      <c r="E7" s="11">
        <v>46519</v>
      </c>
      <c r="F7" s="11">
        <v>46520</v>
      </c>
      <c r="G7" s="11">
        <v>46521</v>
      </c>
      <c r="H7" s="11">
        <v>46522</v>
      </c>
    </row>
    <row r="8" spans="2:8" ht="58" customHeight="1">
      <c r="B8" s="11"/>
      <c r="C8" s="89" t="s">
        <v>123</v>
      </c>
      <c r="D8" s="11"/>
      <c r="E8" s="11"/>
      <c r="F8" s="11"/>
      <c r="G8" s="11"/>
      <c r="H8" s="11"/>
    </row>
    <row r="9" spans="2:8" ht="19.5" customHeight="1">
      <c r="B9" s="9">
        <f t="array" ref="B9:H9">DaysAndWeeks+DATE(CalendarYear,5,1)-WEEKDAY(DATE(CalendarYear,5,1),(WeekStart="Monday")+1)+22</f>
        <v>46523</v>
      </c>
      <c r="C9" s="9">
        <v>46524</v>
      </c>
      <c r="D9" s="9">
        <v>46525</v>
      </c>
      <c r="E9" s="9">
        <v>46526</v>
      </c>
      <c r="F9" s="9">
        <v>46527</v>
      </c>
      <c r="G9" s="9">
        <v>46528</v>
      </c>
      <c r="H9" s="9">
        <v>46529</v>
      </c>
    </row>
    <row r="10" spans="2:8" ht="58" customHeight="1">
      <c r="B10" s="9"/>
      <c r="C10" s="9"/>
      <c r="D10" s="9"/>
      <c r="E10" s="9"/>
      <c r="F10" s="9" t="s">
        <v>124</v>
      </c>
      <c r="G10" s="9"/>
      <c r="H10" s="9"/>
    </row>
    <row r="11" spans="2:8" ht="19.5" customHeight="1">
      <c r="B11" s="11">
        <f t="array" ref="B11:H11">DaysAndWeeks+DATE(CalendarYear,5,1)-WEEKDAY(DATE(CalendarYear,5,1),(WeekStart="Monday")+1)+29</f>
        <v>46530</v>
      </c>
      <c r="C11" s="11">
        <v>46531</v>
      </c>
      <c r="D11" s="11">
        <v>46532</v>
      </c>
      <c r="E11" s="11">
        <v>46533</v>
      </c>
      <c r="F11" s="11">
        <v>46534</v>
      </c>
      <c r="G11" s="11">
        <v>46535</v>
      </c>
      <c r="H11" s="11">
        <v>46536</v>
      </c>
    </row>
    <row r="12" spans="2:8" ht="19.5" customHeight="1">
      <c r="B12" s="11"/>
      <c r="C12" s="107" t="s">
        <v>125</v>
      </c>
      <c r="D12" s="107"/>
      <c r="E12" s="107"/>
      <c r="F12" s="107"/>
      <c r="G12" s="11"/>
      <c r="H12" s="11"/>
    </row>
    <row r="13" spans="2:8" ht="58" customHeight="1">
      <c r="B13" s="11"/>
      <c r="C13" s="11"/>
      <c r="D13" s="11"/>
      <c r="E13" s="11"/>
      <c r="F13" s="11"/>
      <c r="G13" s="71" t="s">
        <v>126</v>
      </c>
      <c r="H13" s="11"/>
    </row>
    <row r="14" spans="2:8" ht="19.5" customHeight="1">
      <c r="B14" s="9">
        <f t="array" ref="B14:C14">DaysAndWeeks+DATE(CalendarYear,5,1)-WEEKDAY(DATE(CalendarYear,5,1),(WeekStart="Monday")+1)+36</f>
        <v>46537</v>
      </c>
      <c r="C14" s="9">
        <v>46538</v>
      </c>
      <c r="D14" s="7" t="s">
        <v>4</v>
      </c>
      <c r="E14" s="92"/>
      <c r="F14" s="92"/>
      <c r="G14" s="92"/>
      <c r="H14" s="93"/>
    </row>
    <row r="15" spans="2:8" ht="58" customHeight="1">
      <c r="B15" s="9"/>
      <c r="C15" s="9"/>
      <c r="D15" s="8"/>
      <c r="E15" s="94"/>
      <c r="F15" s="94"/>
      <c r="G15" s="94"/>
      <c r="H15" s="95"/>
    </row>
  </sheetData>
  <mergeCells count="2">
    <mergeCell ref="E14:H15"/>
    <mergeCell ref="C12:F12"/>
  </mergeCells>
  <conditionalFormatting sqref="B14:D14">
    <cfRule type="expression" dxfId="2" priority="1">
      <formula>AND(DAY(B14)&gt;=1,DAY(B14)&lt;=15)</formula>
    </cfRule>
  </conditionalFormatting>
  <conditionalFormatting sqref="B3:G3">
    <cfRule type="expression" dxfId="1" priority="2">
      <formula>DAY(B3)&gt;8</formula>
    </cfRule>
  </conditionalFormatting>
  <conditionalFormatting sqref="B11:H11 B12:C12 G12:H12">
    <cfRule type="expression" dxfId="0" priority="3">
      <formula>AND(DAY(B11)&gt;=1,DAY(B11)&lt;=15)</formula>
    </cfRule>
  </conditionalFormatting>
  <dataValidations count="9">
    <dataValidation allowBlank="1" showInputMessage="1" showErrorMessage="1" prompt="This row &amp; rows 5, 7, 9, 11 &amp; 13 contain calendar days of the week. If this cell doesn’t contain the number 1, then it is a day from the previous month. Enter notes in cell E13" sqref="B3" xr:uid="{927CF21F-A88C-490B-8050-031AD29E591E}"/>
    <dataValidation allowBlank="1" showInputMessage="1" showErrorMessage="1" prompt="The year in this cell is automatically updated. Select another year in cell K3 of the January worksheet to change the year" sqref="C1" xr:uid="{50556893-3138-4169-AA89-4EB4C396F3F1}"/>
    <dataValidation allowBlank="1" showInputMessage="1" showErrorMessage="1" prompt="This row &amp; rows 6, 8, 10, 12, &amp; 14 are cells for entering daily notes related to the calendar day in the cell above" sqref="B4" xr:uid="{CF1EDB72-8396-4F86-B697-3E5FA3F1E03E}"/>
    <dataValidation allowBlank="1" showInputMessage="1" showErrorMessage="1" prompt="Enter Notes in this cell" sqref="E14:H15" xr:uid="{FB0A8094-D5F3-4708-A365-C3F63A89BCFC}"/>
    <dataValidation allowBlank="1" showInputMessage="1" showErrorMessage="1" prompt="Enter Notes in the cell at right" sqref="D14:D15" xr:uid="{8807F684-051E-4B5F-A4FE-6A2DA9BFAF31}"/>
    <dataValidation allowBlank="1" showInputMessage="1" showErrorMessage="1" prompt="May month calendar" sqref="A1" xr:uid="{2A022F18-F99D-4B78-8A36-A8AE47DB0D46}"/>
    <dataValidation allowBlank="1" showInputMessage="1" showErrorMessage="1" prompt="This row contains the weekday names for this calendar. This cell contains the starting day of the week. To change the starting day, enter a new weekday in cell K4 of the January worksheet" sqref="B2" xr:uid="{62A28D89-CDC9-4618-A5EF-83AC2E99F0BC}"/>
    <dataValidation allowBlank="1" showErrorMessage="1" prompt="The year in this cell is automatically updated based on the year entered in January worksheet. Calendar below has dates for previous and next month with lighter font shade" sqref="B1" xr:uid="{E1BB3497-E8AD-4370-9C0E-521DB112851C}"/>
    <dataValidation allowBlank="1" showInputMessage="1" showErrorMessage="1" prompt="Automatically determined weekday" sqref="C2:H2" xr:uid="{DEC8A5B0-211C-4DB1-9DEF-2306BAD2D514}"/>
  </dataValidations>
  <printOptions horizontalCentered="1" verticalCentered="1"/>
  <pageMargins left="0.7" right="0.7" top="0.75" bottom="0.75" header="0.3" footer="0.3"/>
  <pageSetup scale="89" orientation="landscape" r:id="rId1"/>
  <headerFooter differentFirst="1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6D508893-EE11-475F-8875-A80DA63B0A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3AF6B5-3A62-476A-A075-2058F834D3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45F649-A5E1-49E2-B3BF-F9BCCA7272E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TM11907363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40</vt:i4>
      </vt:variant>
    </vt:vector>
  </HeadingPairs>
  <TitlesOfParts>
    <vt:vector size="57" baseType="lpstr">
      <vt:lpstr>January</vt:lpstr>
      <vt:lpstr>February</vt:lpstr>
      <vt:lpstr>March</vt:lpstr>
      <vt:lpstr>April</vt:lpstr>
      <vt:lpstr>May</vt:lpstr>
      <vt:lpstr>June</vt:lpstr>
      <vt:lpstr>July</vt:lpstr>
      <vt:lpstr>August 26</vt:lpstr>
      <vt:lpstr>September 26</vt:lpstr>
      <vt:lpstr>October 26</vt:lpstr>
      <vt:lpstr>November 26</vt:lpstr>
      <vt:lpstr>December 26</vt:lpstr>
      <vt:lpstr>January 27</vt:lpstr>
      <vt:lpstr>February 27</vt:lpstr>
      <vt:lpstr>March 27</vt:lpstr>
      <vt:lpstr>April 27</vt:lpstr>
      <vt:lpstr>May 27</vt:lpstr>
      <vt:lpstr>'January 27'!CalendarYear</vt:lpstr>
      <vt:lpstr>CalendarYear</vt:lpstr>
      <vt:lpstr>'January 27'!ColumnTitleRegion1..H12.1</vt:lpstr>
      <vt:lpstr>ColumnTitleRegion1..H12.1</vt:lpstr>
      <vt:lpstr>ColumnTitleRegion1..H12.10</vt:lpstr>
      <vt:lpstr>ColumnTitleRegion1..H12.11</vt:lpstr>
      <vt:lpstr>ColumnTitleRegion1..H12.12</vt:lpstr>
      <vt:lpstr>'February 27'!ColumnTitleRegion1..H12.2</vt:lpstr>
      <vt:lpstr>ColumnTitleRegion1..H12.2</vt:lpstr>
      <vt:lpstr>'March 27'!ColumnTitleRegion1..H12.3</vt:lpstr>
      <vt:lpstr>ColumnTitleRegion1..H12.3</vt:lpstr>
      <vt:lpstr>'April 27'!ColumnTitleRegion1..H12.4</vt:lpstr>
      <vt:lpstr>ColumnTitleRegion1..H12.4</vt:lpstr>
      <vt:lpstr>'May 27'!ColumnTitleRegion1..H12.5</vt:lpstr>
      <vt:lpstr>ColumnTitleRegion1..H12.5</vt:lpstr>
      <vt:lpstr>ColumnTitleRegion1..H12.6</vt:lpstr>
      <vt:lpstr>ColumnTitleRegion1..H12.7</vt:lpstr>
      <vt:lpstr>ColumnTitleRegion1..H12.8</vt:lpstr>
      <vt:lpstr>ColumnTitleRegion1..H12.9</vt:lpstr>
      <vt:lpstr>'January 27'!ColumnTitleRegion2..C14.1</vt:lpstr>
      <vt:lpstr>ColumnTitleRegion2..C14.1</vt:lpstr>
      <vt:lpstr>ColumnTitleRegion2..C14.10</vt:lpstr>
      <vt:lpstr>ColumnTitleRegion2..C14.11</vt:lpstr>
      <vt:lpstr>ColumnTitleRegion2..C14.12</vt:lpstr>
      <vt:lpstr>'February 27'!ColumnTitleRegion2..C14.2</vt:lpstr>
      <vt:lpstr>ColumnTitleRegion2..C14.2</vt:lpstr>
      <vt:lpstr>'March 27'!ColumnTitleRegion2..C14.3</vt:lpstr>
      <vt:lpstr>ColumnTitleRegion2..C14.3</vt:lpstr>
      <vt:lpstr>'April 27'!ColumnTitleRegion2..C14.4</vt:lpstr>
      <vt:lpstr>ColumnTitleRegion2..C14.4</vt:lpstr>
      <vt:lpstr>'May 27'!ColumnTitleRegion2..C14.5</vt:lpstr>
      <vt:lpstr>ColumnTitleRegion2..C14.5</vt:lpstr>
      <vt:lpstr>ColumnTitleRegion2..C14.6</vt:lpstr>
      <vt:lpstr>ColumnTitleRegion2..C14.7</vt:lpstr>
      <vt:lpstr>ColumnTitleRegion2..C14.8</vt:lpstr>
      <vt:lpstr>ColumnTitleRegion2..C14.9</vt:lpstr>
      <vt:lpstr>January!Print_Area</vt:lpstr>
      <vt:lpstr>'January 27'!Print_Area</vt:lpstr>
      <vt:lpstr>'January 27'!WeekStart</vt:lpstr>
      <vt:lpstr>WeekStart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2022-12-28T03:23:33Z</dcterms:created>
  <dcterms:modified xsi:type="dcterms:W3CDTF">2026-08-05T14:59:29Z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